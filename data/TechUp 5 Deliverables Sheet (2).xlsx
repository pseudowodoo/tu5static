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roy Toon\Downloads\"/>
    </mc:Choice>
  </mc:AlternateContent>
  <xr:revisionPtr revIDLastSave="0" documentId="13_ncr:1_{F359F003-F7DE-4763-89AE-238B23E04F4B}" xr6:coauthVersionLast="47" xr6:coauthVersionMax="47" xr10:uidLastSave="{00000000-0000-0000-0000-000000000000}"/>
  <bookViews>
    <workbookView xWindow="-108" yWindow="-108" windowWidth="23256" windowHeight="12456" activeTab="2" xr2:uid="{00000000-000D-0000-FFFF-FFFF00000000}"/>
  </bookViews>
  <sheets>
    <sheet name="Participant Submissions" sheetId="1" r:id="rId1"/>
    <sheet name="Sheet1" sheetId="8" r:id="rId2"/>
    <sheet name="Sheet2" sheetId="9" r:id="rId3"/>
    <sheet name="WAP Dates" sheetId="2" r:id="rId4"/>
    <sheet name="Sheet7" sheetId="3" state="hidden" r:id="rId5"/>
    <sheet name="GROUP 3 " sheetId="4" state="hidden" r:id="rId6"/>
    <sheet name="Group 2 (DONT TOUCH)" sheetId="5" state="hidden" r:id="rId7"/>
    <sheet name="Withdrawn" sheetId="6" state="hidden" r:id="rId8"/>
    <sheet name="LGs 4 and 5" sheetId="7" state="hidden" r:id="rId9"/>
  </sheets>
  <definedNames>
    <definedName name="_xlnm._FilterDatabase" localSheetId="6" hidden="1">'Group 2 (DONT TOUCH)'!$A$1:$V$192</definedName>
    <definedName name="_xlnm._FilterDatabase" localSheetId="5" hidden="1">'GROUP 3 '!$A$1:$R$86</definedName>
    <definedName name="_xlnm._FilterDatabase" localSheetId="0" hidden="1">'Participant Submissions'!$A$1:$E$54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D6" i="3"/>
  <c r="D5" i="3"/>
  <c r="B5" i="3"/>
  <c r="B7" i="3" l="1"/>
</calcChain>
</file>

<file path=xl/sharedStrings.xml><?xml version="1.0" encoding="utf-8"?>
<sst xmlns="http://schemas.openxmlformats.org/spreadsheetml/2006/main" count="2064" uniqueCount="925">
  <si>
    <t>C. Qualitative Feedback</t>
  </si>
  <si>
    <t>Overall Pass?</t>
  </si>
  <si>
    <t>LG</t>
  </si>
  <si>
    <t>Category</t>
  </si>
  <si>
    <t>Problem Statement
(1st Iteration)</t>
  </si>
  <si>
    <t>What key insights did you get from your user interview?</t>
  </si>
  <si>
    <t>What changes would you make to your web app, in light of the post-interview insights you've gathered?</t>
  </si>
  <si>
    <t>(Before WAP day)
Your web app name</t>
  </si>
  <si>
    <t>(Before WAP day)
Your web app link</t>
  </si>
  <si>
    <t>(Before WAP day)
Short description of your web app</t>
  </si>
  <si>
    <t>1. Clear Target Users</t>
  </si>
  <si>
    <t>2. Clear Pain Point</t>
  </si>
  <si>
    <t>3. Clear Consequence</t>
  </si>
  <si>
    <t>1. App's Features address problem statement?</t>
  </si>
  <si>
    <t>2. Effectiveness of UX?</t>
  </si>
  <si>
    <t>1. Evaluator #1's Feedback</t>
  </si>
  <si>
    <t>2. Evaluator #2's Feedback</t>
  </si>
  <si>
    <t>3. Evaluator #3's Feedback</t>
  </si>
  <si>
    <t>For Eval's Use</t>
  </si>
  <si>
    <t>For Team's Use</t>
  </si>
  <si>
    <t>Heng Kang Wei</t>
  </si>
  <si>
    <t>Culture.SG</t>
  </si>
  <si>
    <t>https://culturesg.info/</t>
  </si>
  <si>
    <r>
      <rPr>
        <b/>
        <sz val="10"/>
        <color theme="1"/>
        <rFont val="Arial"/>
      </rPr>
      <t>Introducing Culture.SG
Unified Event Aggregator</t>
    </r>
    <r>
      <rPr>
        <sz val="10"/>
        <color theme="1"/>
        <rFont val="Arial"/>
      </rPr>
      <t xml:space="preserve"> – Pulls event data from NHB, NAC, community pages, and partner organisations. Users can search by date, location, event type, and language, eliminating the need to browse multiple sites.
</t>
    </r>
    <r>
      <rPr>
        <b/>
        <sz val="10"/>
        <color theme="1"/>
        <rFont val="Arial"/>
      </rPr>
      <t xml:space="preserve">
Personalised Recommendations </t>
    </r>
    <r>
      <rPr>
        <sz val="10"/>
        <color theme="1"/>
        <rFont val="Arial"/>
      </rPr>
      <t xml:space="preserve">– Uses user preferences and past searches to suggest relevant upcoming events, improving discovery and conversion.
</t>
    </r>
    <r>
      <rPr>
        <b/>
        <sz val="10"/>
        <color theme="1"/>
        <rFont val="Arial"/>
      </rPr>
      <t xml:space="preserve">“Random Fun Fact” Feature </t>
    </r>
    <r>
      <rPr>
        <sz val="10"/>
        <color theme="1"/>
        <rFont val="Arial"/>
      </rPr>
      <t>– Delivers bite-sized cultural trivia or heritage insights from a verified database, subtly improving users’ cultural literacy over time.</t>
    </r>
  </si>
  <si>
    <t>Pass</t>
  </si>
  <si>
    <t>Ho Cher Kee Andy</t>
  </si>
  <si>
    <t>MRT Which Door</t>
  </si>
  <si>
    <r>
      <rPr>
        <u/>
        <sz val="10"/>
        <color rgb="FF1155CC"/>
        <rFont val="Arial"/>
      </rPr>
      <t xml:space="preserve">https://mrtwhichdoor.com
</t>
    </r>
    <r>
      <rPr>
        <sz val="10"/>
        <color rgb="FF000000"/>
        <rFont val="Arial"/>
      </rPr>
      <t>[Note: Pls dun try too much else I will get billed by GCP, as I'm tapping on Google Maps Route API with 1st 5k calls per month free]</t>
    </r>
  </si>
  <si>
    <t>Find the best door for faster transfers and exits on Singapore MRT</t>
  </si>
  <si>
    <t>Lee Ying Ying</t>
  </si>
  <si>
    <t>AI@Work Navigator</t>
  </si>
  <si>
    <t>https://aiforu.tech/</t>
  </si>
  <si>
    <t xml:space="preserve">Personalised recommendations: web app uses a quiz to personalise recommendations for users in the functional domains, and the curated information can directly help them in improving their productivity at work.
Comprehensive information in one-stop: The website compiled information from the web which include courses, tools, and workflows, that can help professionals across HR, Legal, Marketing, and Accounting embrace AI and GenAI technologies to improve efficiency. there are also information on ethical considerations of AI in their day-to-day workflows.
Every business will have these functional roles. This webapp will be useful even for the smallest SME. </t>
  </si>
  <si>
    <t>Tan Jing Yu William</t>
  </si>
  <si>
    <t>BotaniCare</t>
  </si>
  <si>
    <r>
      <rPr>
        <u/>
        <sz val="10"/>
        <color rgb="FF1155CC"/>
        <rFont val="Arial"/>
      </rPr>
      <t>https://botanicare.online/</t>
    </r>
    <r>
      <rPr>
        <sz val="10"/>
        <color rgb="FF000000"/>
        <rFont val="Arial"/>
        <scheme val="minor"/>
      </rPr>
      <t xml:space="preserve">
(Please create an account, and link to your Telegram account if you wish to test the bot out :))</t>
    </r>
  </si>
  <si>
    <t>BotaniCare helps users keep track of their plants with simple tools for logging watering and fertilising, along with clear care histories.
A built-in Telegram bot can send daily care reminders and weather-based alerts, which are especially useful for outdoor setups.
Users can organise plants into Groups and mark each group as Indoor or Outdoor, with weather notifications sent only to outdoor groups.
BotaniCare also includes a plant diary, where users can record notes and photos to document growth, troubleshoot issues, or track changes over time. Diary entries can be shared directly with the community, creating a space where users learn from each other through real examples, updates, and discussions.
A straightforward tool for users managing anything from a small indoor collection to a larger outdoor garden.</t>
  </si>
  <si>
    <t>Ng Yu Xin, Karen</t>
  </si>
  <si>
    <t>That Time We</t>
  </si>
  <si>
    <r>
      <rPr>
        <u/>
        <sz val="10"/>
        <color rgb="FF1155CC"/>
        <rFont val="Arial"/>
      </rPr>
      <t xml:space="preserve">thattimewesg.com
</t>
    </r>
    <r>
      <rPr>
        <sz val="10"/>
        <color rgb="FF000000"/>
        <rFont val="Arial"/>
      </rPr>
      <t>Note: An account is needed to log in and use the app features. You may sign up, or drop me a message on Slack and I'll give you my login details so you don't have to create an account. Thanks!</t>
    </r>
  </si>
  <si>
    <t xml:space="preserve">That Time We is an AI-assisted journaling web app that makes it easy to compile, caption, and relive shared memories. It transforms scattered photos, videos, and thoughts into organised, story-rich journals that can be revisited at any time. Users can create folders, add captions, locations, and tags, and co-curate albums without the clutter or privacy concerns of social media. With AI-powered features and a visual, low-effort design, it helps users of all ages — from seniors to families — to cultivate the habit of journaling and collate treasured memories in a single digital space. </t>
  </si>
  <si>
    <t>Douglas Goh</t>
  </si>
  <si>
    <t>My DigitLife Compass</t>
  </si>
  <si>
    <t>https://lovable.dev/projects/bf1e2e04-f0e5-48fe-a672-e0004461d0be?magic_link=mc_966d10b8-c68f-4c83-9a8e-2aebdbe87c97</t>
  </si>
  <si>
    <t xml:space="preserve">The MyDigitaLife Compass web app aims to streamline workflow by providing a single, seamless platform for Digital Ambassadors to engage seniors more effectively during community outreach events. 
It reduces manual steps, improves consistency of engagement, and enhances seniors’ overall experience. It also empowers DAs with real-time information, shortens engagement cycles, and aims to raise the current 10% conversion rate to at least 30%.
</t>
  </si>
  <si>
    <t>Passed</t>
  </si>
  <si>
    <t>Jeffrey Lee</t>
  </si>
  <si>
    <t>RetireReady</t>
  </si>
  <si>
    <r>
      <rPr>
        <u/>
        <sz val="10"/>
        <color rgb="FF1155CC"/>
        <rFont val="Arial"/>
      </rPr>
      <t xml:space="preserve">https://sgretireready.com
</t>
    </r>
    <r>
      <rPr>
        <sz val="10"/>
        <color rgb="FF000000"/>
        <rFont val="Arial"/>
        <scheme val="minor"/>
      </rPr>
      <t>Click on "Continue as Guest" to access the application without signing in.
You could also sign up for an account (no email confirmation is required), then sign in using the account you just created.</t>
    </r>
  </si>
  <si>
    <t xml:space="preserve">The webapp provides a Retirement Readiness Score to help working adults aged between 25 to 60 to achieve their desired retirement lifestyle according to their preferred retirement age. The application gathers key financial and lifestyle indicators - such as savings, investments, insurance converage, debts and retirement goals and converts them into a Readiness Score. Users can explore personalised recommedations, adjust lifestyle or financial inputs, and visualise how these changes impact their retirement outlook, enabling them to make informed decisions on their lifestyle.
</t>
  </si>
  <si>
    <t>Edmund Cheong</t>
  </si>
  <si>
    <t>MyMakanMap</t>
  </si>
  <si>
    <r>
      <rPr>
        <u/>
        <sz val="10"/>
        <color rgb="FF1155CC"/>
        <rFont val="Arial"/>
      </rPr>
      <t>mymakanmap.com</t>
    </r>
    <r>
      <rPr>
        <sz val="10"/>
        <color rgb="FF000000"/>
        <rFont val="Arial"/>
        <scheme val="minor"/>
      </rPr>
      <t xml:space="preserve">
user: techup5@gmail.com
pw: techup5</t>
    </r>
  </si>
  <si>
    <t>A personal restaurant wishlist that lets diners save discovered restaurants, view them on a list and map, and filter by location, price, or cuisine for quick selection.</t>
  </si>
  <si>
    <t>Justyn Lim Lai Fu</t>
  </si>
  <si>
    <t>CaseSync</t>
  </si>
  <si>
    <r>
      <rPr>
        <u/>
        <sz val="10"/>
        <color rgb="FF1155CC"/>
        <rFont val="Arial"/>
      </rPr>
      <t>https://casesync.lovable.app</t>
    </r>
    <r>
      <rPr>
        <sz val="10"/>
        <rFont val="Arial"/>
      </rPr>
      <t xml:space="preserve">
</t>
    </r>
    <r>
      <rPr>
        <u/>
        <sz val="10"/>
        <rFont val="Arial"/>
      </rPr>
      <t xml:space="preserve">User accounts:
</t>
    </r>
    <r>
      <rPr>
        <b/>
        <sz val="10"/>
        <rFont val="Arial"/>
      </rPr>
      <t xml:space="preserve">Teacher:
</t>
    </r>
    <r>
      <rPr>
        <sz val="10"/>
        <rFont val="Arial"/>
      </rPr>
      <t xml:space="preserve">teacher@moe.sg
</t>
    </r>
    <r>
      <rPr>
        <b/>
        <sz val="10"/>
        <rFont val="Arial"/>
      </rPr>
      <t xml:space="preserve">Discipline Master:
</t>
    </r>
    <r>
      <rPr>
        <sz val="10"/>
        <rFont val="Arial"/>
      </rPr>
      <t xml:space="preserve">dm@moe.sg
</t>
    </r>
    <r>
      <rPr>
        <b/>
        <sz val="10"/>
        <rFont val="Arial"/>
      </rPr>
      <t xml:space="preserve">Counsellor:
</t>
    </r>
    <r>
      <rPr>
        <sz val="10"/>
        <rFont val="Arial"/>
      </rPr>
      <t xml:space="preserve">sc@moe.sg
</t>
    </r>
    <r>
      <rPr>
        <b/>
        <sz val="10"/>
        <rFont val="Arial"/>
      </rPr>
      <t xml:space="preserve">Special Needs Officer:
</t>
    </r>
    <r>
      <rPr>
        <sz val="10"/>
        <rFont val="Arial"/>
      </rPr>
      <t xml:space="preserve">sen@moe.sg
All passwords - </t>
    </r>
    <r>
      <rPr>
        <b/>
        <sz val="10"/>
        <rFont val="Arial"/>
      </rPr>
      <t>12345</t>
    </r>
  </si>
  <si>
    <t>A web application that consolidates fragmented student support workflows into a single collaborative system for Case Management Teams. Features dual architecture supporting both student-centric profiles for ongoing cases and incident-centric logging for discrete events, with real-time cross-role collaboration, privacy-protected referrals, AI-powered intervention recommendations, and mobile-responsive access. Transforms case management from a fragmented 5-8 hour weekly process into a coordinated workflow under 3 hours, ensuring vulnerable students receive timely support without repeatedly sharing traumatic experiences across different staff members.
Core Value: Reduces administrative burden while enabling coordinated student support through unified data access and seamless collaboration.</t>
  </si>
  <si>
    <t>Joni Pek</t>
  </si>
  <si>
    <t>Fit5</t>
  </si>
  <si>
    <r>
      <rPr>
        <u/>
        <sz val="10"/>
        <color rgb="FF1155CC"/>
        <rFont val="Arial"/>
      </rPr>
      <t>https://fit5.lovable.app/
fit5sg.com</t>
    </r>
    <r>
      <rPr>
        <sz val="10"/>
        <color rgb="FF000000"/>
        <rFont val="Arial"/>
      </rPr>
      <t xml:space="preserve"> </t>
    </r>
  </si>
  <si>
    <t>A  wellness platform designed for busy Singaporeans, integrating five key pillars: Move (动), Eat (吃), Nourish (养), Calm (静) and Rest (休). Fit5 delivers bite‑sized, practical wellness tasks that fit seamlessly into daily routines—whether you’re commuting, working, or winding down. Fit5 helps you build healthy habits without overwhelming your schedule.
By focusing on small, consistent actions rather than lengthy routines, Fit5 makes wellness accessible, sustainable and efficient—so you can prioritise your physical health (without needing to be an expert) and feel better each day.</t>
  </si>
  <si>
    <t>Nathaniel Soon</t>
  </si>
  <si>
    <t>Streamlite</t>
  </si>
  <si>
    <t>https://streamlite.lovable.app</t>
  </si>
  <si>
    <t>Streamlite is a smart streaming planner that turns what you feel like watching into a tailored viewing guide and smart subscription plan, optimising across multiple platforms so that your household get the right shows at the best value.</t>
  </si>
  <si>
    <t>Chia Charmaine Jacqueline</t>
  </si>
  <si>
    <r>
      <rPr>
        <b/>
        <sz val="10"/>
        <color theme="1"/>
        <rFont val="Arial"/>
      </rPr>
      <t>SubTrackLah!</t>
    </r>
    <r>
      <rPr>
        <sz val="10"/>
        <color theme="1"/>
        <rFont val="Arial"/>
      </rPr>
      <t xml:space="preserve">
Dummy/Test Account:
Email: chiacharmjac@gmail.com
Pw: 123456</t>
    </r>
  </si>
  <si>
    <t>SubTrackLah.com</t>
  </si>
  <si>
    <t>SubTrackLah! helps busy professionals in Singapore take control of their digital spending by tracking all subscriptions in one place. From Netflix to cloud storage, it reminds you of renewals, highlights underused plans, and celebrates your savings — so you can declutter your digital life and keep more kopi money in your pocket. ☕💸</t>
  </si>
  <si>
    <t>Laurentia Ho Yue Ming</t>
  </si>
  <si>
    <t>SGSafeHome</t>
  </si>
  <si>
    <t>https://sgsafehome.com/</t>
  </si>
  <si>
    <t>SGSafeHome is a web-based platform that helps Singapore residents check their home safety readiness, from security measures to emergency preparedness. It provides clear, step-by-step actions to take during emergencies while waiting for help. Primary account holders can invite family members as lightweight guest profiles, who access the account via a secure invitation link without creating full accounts. This enables users and their community to share progress on the preparation checklist and emergency contacts, fostering better coordination and helping everyone be better prepared to handle emergency situations effectively.</t>
  </si>
  <si>
    <t>Yet to Pass</t>
  </si>
  <si>
    <t>Gogiladevi Meande</t>
  </si>
  <si>
    <t>LifeSwap</t>
  </si>
  <si>
    <t>https://www.life-swap.com/</t>
  </si>
  <si>
    <t>The LifeSwap Concept
LifeSwap is a platform that enables users to exchange 1–3 hour “life blocks” providing authentic micro-experiences designed for reflection, learning, and human connection. By facilitating these peer-to-peer swaps, LifeSwap cultivates serendipity, empathy, and mental renewal through lived experience.
In doing so, it pioneers a new “experience economy” that monetizes authenticity and shared humanity, not just curated moments.</t>
  </si>
  <si>
    <t>Clare Ng Shi Duan</t>
  </si>
  <si>
    <t>Weekend Playbook</t>
  </si>
  <si>
    <r>
      <rPr>
        <u/>
        <sz val="10"/>
        <color rgb="FF1155CC"/>
        <rFont val="Arial"/>
      </rPr>
      <t xml:space="preserve">https://weekend-playbook.com/
</t>
    </r>
    <r>
      <rPr>
        <sz val="10"/>
        <color rgb="FF000000"/>
        <rFont val="Arial"/>
        <scheme val="minor"/>
      </rPr>
      <t xml:space="preserve">Note: Schedule can only be sent to my email address. If you click on the Email Schedule button and enter your email address, it will say schedule sent but you will not receive it. </t>
    </r>
  </si>
  <si>
    <t>Weekend Playbook creates customised schedules for parents of children aged 2-12 that incorporate age-appropriate screen time, sleep and physical activity hours, helping parents build confidence in managing their child's digital habits and reduce weekend screen time.</t>
  </si>
  <si>
    <t>Ratna Sari Binte Mohamed Hashim</t>
  </si>
  <si>
    <t xml:space="preserve">My Travel Journal </t>
  </si>
  <si>
    <t>https://sentiment-travel.com</t>
  </si>
  <si>
    <t xml:space="preserve">My Travel Journal (Your digital companion to capture, organise, and relive every journey.)
My Travel Journal unifies key aspects of travel (destinations, photos, reflections, and spending) into one intelligent platform. It transforms scattered travel data into cohesive visual stories, allowing travellers to document, analyse, and share their experiences effortlessly. With built-in analytics and AI insights, users gain a clearer view of their travel patterns, mindful spending habits, and meaningful memories - all in one place.
</t>
  </si>
  <si>
    <t>Cornelius Chan</t>
  </si>
  <si>
    <t>Don't Waste Food Lah</t>
  </si>
  <si>
    <t>dontwastefoodlah.com</t>
  </si>
  <si>
    <t xml:space="preserve">The app will be a match-making app between event organisers and users associated with an organisation. The app is intended to function with minimal inputs from users, event organisers and organisations to encourage adoption. Users can register as a food recipient and associate themselves with up to 3 organisations. Other users who organise events can use the same app to create events and broadcast alerts when there is excess food available for consumption. </t>
  </si>
  <si>
    <t>Pei En</t>
  </si>
  <si>
    <r>
      <rPr>
        <u/>
        <sz val="10"/>
        <color rgb="FF1155CC"/>
        <rFont val="Arial"/>
      </rPr>
      <t>https://tuneyourvoice.me</t>
    </r>
    <r>
      <rPr>
        <sz val="10"/>
        <color rgb="FF000000"/>
        <rFont val="Arial"/>
        <scheme val="minor"/>
      </rPr>
      <t xml:space="preserve"> </t>
    </r>
  </si>
  <si>
    <r>
      <rPr>
        <b/>
        <u/>
        <sz val="10"/>
        <color theme="1"/>
        <rFont val="Arial"/>
      </rPr>
      <t xml:space="preserve">Harmonix: Interactive Vocal Training App </t>
    </r>
    <r>
      <rPr>
        <sz val="10"/>
        <color theme="1"/>
        <rFont val="Arial"/>
      </rPr>
      <t xml:space="preserve">
</t>
    </r>
    <r>
      <rPr>
        <b/>
        <sz val="10"/>
        <color theme="1"/>
        <rFont val="Arial"/>
      </rPr>
      <t>Harmonix</t>
    </r>
    <r>
      <rPr>
        <sz val="10"/>
        <color theme="1"/>
        <rFont val="Arial"/>
      </rPr>
      <t xml:space="preserve"> is a web-based singing training application that helps users develop their pitch accuracy and harmony skills through interactive exercises. The app uses your device's microphone to listen to your singing in real-time and provides instant feedback on your performance.
How it works:
1.        </t>
    </r>
    <r>
      <rPr>
        <u/>
        <sz val="10"/>
        <color theme="1"/>
        <rFont val="Arial"/>
      </rPr>
      <t>Onboarding</t>
    </r>
    <r>
      <rPr>
        <sz val="10"/>
        <color theme="1"/>
        <rFont val="Arial"/>
      </rPr>
      <t xml:space="preserve">: When you first use the app, you select your voice type (male or female) so the exercises are calibrated to a comfortable pitch range for you. The app then tests your microphone to ensure it can hear you properly.
2.       </t>
    </r>
    <r>
      <rPr>
        <u/>
        <sz val="10"/>
        <color theme="1"/>
        <rFont val="Arial"/>
      </rPr>
      <t xml:space="preserve"> Progressive Learning Path</t>
    </r>
    <r>
      <rPr>
        <sz val="10"/>
        <color theme="1"/>
        <rFont val="Arial"/>
      </rPr>
      <t xml:space="preserve">: The app has three levels that gradually increase in difficulty:
•        Level 0: Pitch matching basics - You sing simple sustained notes to develop pitch accuracy
•        Level 1: Melody singing - You learn to sing familiar melodies note-by-note
•        Level 2: Harmony training - You sing harmony notes (like major and minor thirds) while the app plays a reference melody
3.       </t>
    </r>
    <r>
      <rPr>
        <u/>
        <sz val="10"/>
        <color theme="1"/>
        <rFont val="Arial"/>
      </rPr>
      <t xml:space="preserve"> Real-time Feedback</t>
    </r>
    <r>
      <rPr>
        <sz val="10"/>
        <color theme="1"/>
        <rFont val="Arial"/>
      </rPr>
      <t xml:space="preserve">: As you sing, the app analyzes your voice using pitch detection technology and shows:
•        Visual feedback on whether you're hitting the right notes
•        Your pitch compared to the target pitch (with visual bars and graphs)
•        Helpful hints and encouragement from an animated mascot character
•        Progress tracking showing your accuracy scores
4.        </t>
    </r>
    <r>
      <rPr>
        <u/>
        <sz val="10"/>
        <color theme="1"/>
        <rFont val="Arial"/>
      </rPr>
      <t>Adaptive Difficulty</t>
    </r>
    <r>
      <rPr>
        <sz val="10"/>
        <color theme="1"/>
        <rFont val="Arial"/>
      </rPr>
      <t xml:space="preserve">: You need to achieve certain scores to unlock higher levels. The app tracks your best performances and lets you retry exercises to improve.
</t>
    </r>
  </si>
  <si>
    <t>Siti Hamimah Aminuddin</t>
  </si>
  <si>
    <t>GiftSG</t>
  </si>
  <si>
    <t>https://shopgiftsg.com/</t>
  </si>
  <si>
    <t>GiftSG is a one-stop social gifting platform that helps corporate staff easily discover and purchase meaningful gifts from multiple social enterprises in Singapore. Users can browse curated items from crafts to corporate sets, view each product’s social impact, and check out with consolidated payment and delivery. By simplifying procurement and giving equal visibility to both large and small non-profits, the platform enables companies to fulfil CSR goals while supporting diverse beneficiary communities.</t>
  </si>
  <si>
    <t>Marcus Moo Wei Hao</t>
  </si>
  <si>
    <t>Lumina Sanctuary</t>
  </si>
  <si>
    <t xml:space="preserve">https://lumina-sanctuary-sg.lovable.app/ </t>
  </si>
  <si>
    <t>Lumina Sanctuary offers the new means to feel connected with the heavens through sincere prayers. One can seek clarity through divination practice and get incentivized to meditate/chant more with the chanting bank feature. There's announcement regarding latest community based event to learn about Nichiren Buddhism. For seekers of The Truth, can refer to Sutra page to learn about the ancient philosophy.</t>
  </si>
  <si>
    <t>Gregory Loh</t>
  </si>
  <si>
    <r>
      <rPr>
        <i/>
        <sz val="10"/>
        <color theme="1"/>
        <rFont val="Arial"/>
      </rPr>
      <t>See Lah!</t>
    </r>
    <r>
      <rPr>
        <sz val="10"/>
        <color theme="1"/>
        <rFont val="Arial"/>
      </rPr>
      <t xml:space="preserve"> </t>
    </r>
  </si>
  <si>
    <t>https://see-lah.lovable.app/</t>
  </si>
  <si>
    <t xml:space="preserve">A site which hosts 3 different interactive tools. Users can use the tools immediately to create 'sessions' with their teams and they have the option to create a 'Workspace' to save sessions that they have previously conducted with their teams. 
When a user (admin) start a session, there will be a QR Code/Link which another user (participants) can log into to provide their input. After all participants have provided their input, the admin can show the combined input and facilitate a discussion based on how everyone has contributed. There are 3 different tools, i.e. 3 different types of sessions which a user can choose to start depending on the needs of his/her team.  </t>
  </si>
  <si>
    <t>Ng Shi Kai</t>
  </si>
  <si>
    <t>CardLobang</t>
  </si>
  <si>
    <t>https://cardlobang.lovable.app/</t>
  </si>
  <si>
    <t>CardLobang eliminates decision paralysis for young Singaporeans by instantly calculating their Estimated Annual Financial Benefit and recommending the single most rewarding entry-level credit card for their unique spending habits, driving confident applications.</t>
  </si>
  <si>
    <t>Muhammad Fazli Hamdan</t>
  </si>
  <si>
    <t xml:space="preserve">CleanCompare.sg
Client Login:
kins1704@gmail.com
Password:
kins1704
Company Login:
Company Name: Test1
UEN: 123456789A
</t>
  </si>
  <si>
    <t>https://cleancomparesg.lovable.app</t>
  </si>
  <si>
    <t>Compare. Choose. Clean.
Singapore’s easiest way to find trusted cleaning pros.</t>
  </si>
  <si>
    <t>Victoria Quek</t>
  </si>
  <si>
    <t>Orbit</t>
  </si>
  <si>
    <t>https://orbit-sg.lovable.app/</t>
  </si>
  <si>
    <t xml:space="preserve">Orbit is a social fitness web app that helps busy working adults stay consistent through community and accountability. Users can create and share workouts, find partners with similar schedules, and join sessions happening soon to overcome decision fatigue. The app also features likes, comments, and streak celebrations to keep motivation high, and a 6-month visual progress tracker to monitor consistency over time. </t>
  </si>
  <si>
    <t>Andy Phang</t>
  </si>
  <si>
    <t>Sgcarhub</t>
  </si>
  <si>
    <t>https://sgcarhub.lovable.app/</t>
  </si>
  <si>
    <t xml:space="preserve">SGcarhub is a one-stop car forums that targets to cover all car models sold in Singapore which will allow car owners/users to 
(i) obtain useful car related info which will help all local car owners/users in their car ownership journey such as good deals like car tires, legal performance parts, good external workshops that have experts in dealing with their car models' maintenance issues, etc.; and 
(ii) form an integrated local car community where it gathers all local car owners/users together and organise car related community events like short food trips in Malaysia, cross country travel to Thailand, tracking event in Sepang circuit, etc. to foster community bonding. 
Car owners/users will no longer need to spend time searching across overlapping, unverified or even false online sources for information on their cars and feel that they are always on their own in the car ownership journey. 
</t>
  </si>
  <si>
    <t>Rebekah Tan</t>
  </si>
  <si>
    <t>From Dusk to Dawn</t>
  </si>
  <si>
    <t>https://from-dusk-to-dawn.lovable.app</t>
  </si>
  <si>
    <t xml:space="preserve">From Dusk to Dawn is a web app supporting young mothers through pregnancy loss with grief journey tracking and access to curated community support groups, professional help and resources to facilitate healing at their own pace.
</t>
  </si>
  <si>
    <t>Daniel Koh</t>
  </si>
  <si>
    <t>InTouch Again</t>
  </si>
  <si>
    <t>https://intouchagain.com</t>
  </si>
  <si>
    <t>InTouch Again is a relationship rekindling platform that helps mid-life adults in Singapore overcome the awkwardness of reconnecting with old friends, former colleagues, and past acquaintances.
It provides guided reflection prompts to recall meaningful memories, pre-written message templates to reduce the intimidation of reaching out, calendar integration for concrete meetup scheduling, and progress tracking with milestones to transform social intentions into consistent action. Ultimately addressing the emotional inertia that causes years of social drift and increased loneliness</t>
  </si>
  <si>
    <t>Odele Pang</t>
  </si>
  <si>
    <t>PantryPal</t>
  </si>
  <si>
    <t xml:space="preserve">pantrypal-app.com
</t>
  </si>
  <si>
    <t xml:space="preserve">PantryPal helps users keep track of the food in their kitchens to reduce preventable food waste (i.e. uncooked or unconsumed food). Users record the items they have, along with expiry dates.
The app features an email notification system that sends alerts to users to remind them of items that are about to expire, ensuring nothing gets forgotten and wasted. It also tracks discarded items and analyses this data to show users their most common source of food waste and estimated money wasted, to help shape their behaviour. Users can also access food storage guidance to learn how to reduce food spoilage.
Together, these features help users reduce preventable food waste through better kitchen management.
</t>
  </si>
  <si>
    <t>Loh Mun Yew</t>
  </si>
  <si>
    <t>Convoy Kaki</t>
  </si>
  <si>
    <t xml:space="preserve">https://convoykaki.replit.app
</t>
  </si>
  <si>
    <t>Convoy Kaki centralizes convoy coordination through automated matching and unified 
trip itinerary (eliminating WhatsApp chaos); provides real-time Open Charge Map API 
charging visibility with "who's charging where" coordination (preventing checkpoint 
station crowding); surfaces destination recommendations during convoy formation 
(enabling pre-trip planning vs post-arrival browsing); includes interactive VEP/
border checklists 48h before departure; and integrates SeaLion AI assistant for 
customs/immigration support, Malaysian food culture guidance (halal options, 
regional specialties, dining etiquette), and culturally-aware local insights—
reducing trip anxiety, coordination delays, and cultural missteps while building 
confidence for repeat cross-border exploration.</t>
  </si>
  <si>
    <t>Lisa Chin</t>
  </si>
  <si>
    <t>VoucHere</t>
  </si>
  <si>
    <t>https://cdcvouchere.com/
Note: the application can be used without an account BUT if you don't want to create an account, a user account has already been created. 
user: user@mail.com
password: password1</t>
  </si>
  <si>
    <t xml:space="preserve">VoucHere helps users find places to use their SG60 vouchers by showing users places near them where they can use their vouchers. The filters tailored to popular preferences (Halal, vegetarian, cafes) help the user further narrow their search. </t>
  </si>
  <si>
    <t>Leonie Tan</t>
  </si>
  <si>
    <t>Next Chapter</t>
  </si>
  <si>
    <t>https://nextchaptersg.lovable.app/</t>
  </si>
  <si>
    <r>
      <rPr>
        <b/>
        <sz val="10"/>
        <color theme="1"/>
        <rFont val="Arial"/>
      </rPr>
      <t>Next Chapter</t>
    </r>
    <r>
      <rPr>
        <sz val="10"/>
        <color theme="1"/>
        <rFont val="Arial"/>
      </rPr>
      <t xml:space="preserve"> is a web application that connects retired PMETs with volunteer opportunities that match their interests, skills and availability, helping them rediscover purpose while making a meaningful impact in the community after leaving the workforce. The application allows users to sign up for volunteering opportunities, invite friends to join in the volunteering events and share their experiences to inspire others. Community agencies can also participate through a dedicated portal where they post opportunities and manage volunteer sign-ups. 
</t>
    </r>
  </si>
  <si>
    <t>Gokul Rajendran</t>
  </si>
  <si>
    <t>Ng Yong He</t>
  </si>
  <si>
    <t>Taste of Home</t>
  </si>
  <si>
    <t>https://s-voice-cookbook.lovable.app</t>
  </si>
  <si>
    <t xml:space="preserve">Taste of Home helps families preserve and share their culinary heritage. The app makes it easy for seniors to record their recipes using voice, photos, and text inputs, ensuring that no family favourite is ever lost. From traditional family staples to modern household favourites, each recipe captures the warmth and story behind every dish. Family members can browse, try, and celebrate these recipes together, creating a living cookbook that grows with each generation. With Taste of Home, passing down recipes becomes more than just sharing food. It’s preserving memories, culture, and love through cooking. Taste of Home is available in all 4 official languages and is mobile responsive to improve accessibility to Singaporean seniors. </t>
  </si>
  <si>
    <t>Jacqueline Salim</t>
  </si>
  <si>
    <t>setgo!</t>
  </si>
  <si>
    <t>https://setgo.app/
https://setgokid.com/</t>
  </si>
  <si>
    <t>SetGo! is a family-oriented web application designed to help children aged 9-12 develop time management skills and earn rewards for completing daily activities. The app combines scheduling, gamification, and parental oversight into an engaging platform that teaches responsibility.</t>
  </si>
  <si>
    <t>Eric Chua</t>
  </si>
  <si>
    <t>SgSchoolfinder by PT</t>
  </si>
  <si>
    <t>https://sgschoolfinder-pt.com/</t>
  </si>
  <si>
    <t>sgschoolfinder-pt is a webtool that allows parents of P5/P6 students to shortlist secondary schools based on public transport accessibility from their homes. Parents and their children can further refine this shortlist by 2 additional important criteria - PSLE cut-off points and CCA availability. 
This shortlisting tool can be useful when 1) parents of P6 students have to submit 6 ranked schools during the Sec 1 posting exercise following the release of PSLE results, 2) parents and their P5/P6 students are shortlisting schools to visit for respective open houses. 
This tool complements MOE's schoolfinder website which parents can use to find out more information about their shortlisted schools.</t>
  </si>
  <si>
    <t>Francis Lim</t>
  </si>
  <si>
    <t>CareConnect SG</t>
  </si>
  <si>
    <t>https://elder-ease-sg.lovable.app</t>
  </si>
  <si>
    <t>CareConnect SG eliminates the research burden for family caregivers by consolidating Singapore's fragmented eldercare resources into one intelligent platform. Instead of spending 15-20 hours researching across multiple government agencies, caregivers receive instant, personalised matches to relevant grants, services, and support programmes based on their specific situation. The platform transforms complex navigation and information-gathering into a simple, streamlined experience that connects families directly to the government support they need.</t>
  </si>
  <si>
    <t>Eda Pan</t>
  </si>
  <si>
    <t>One-stop cross-border taxis from anywhere in Singapore to Johor (Larkin).</t>
  </si>
  <si>
    <t>https://sg-my-taxis.lovable.app</t>
  </si>
  <si>
    <t xml:space="preserve">A one stop platform for passengers to get Singapore licenced cross-border taxis from any part of Singapore to Johor (Larkin). </t>
  </si>
  <si>
    <t>Benjamin Alexander Chua</t>
  </si>
  <si>
    <t>Kua Si Mi</t>
  </si>
  <si>
    <t>http://ksm.benjaminalexanderchua.com</t>
  </si>
  <si>
    <t>The Kua Si Mi (KSM) Portal is a confidential online platform designed to empower individuals to share and reflect on bullying experiences without fear of stigma or exposure. Unlike traditional reporting channels, KSM focuses on story-sharing, awareness, and early intervention (based on data trending to inform for further actions taken at community level or schools) rather than formal complaints. Users can anonymously describe incidents of bullying, harassment, or exclusion they have witnessed or experienced.
The submission is screened through an AI tool which detects harmful submissions with security features such as geographical IP restriction as this is meant for SG use only.</t>
  </si>
  <si>
    <t>Jean Hui Ng</t>
  </si>
  <si>
    <t>Corale Chew</t>
  </si>
  <si>
    <t>Ruth Wong</t>
  </si>
  <si>
    <t>CoatShare (aka CanBorrow?)</t>
  </si>
  <si>
    <t xml:space="preserve">https://coatsharesg.lovable.app/
user: coatshare.addy@gmail.com
Pw: 67891011
[Note: emails for completed transactions and alerts are sent to my email account.]  </t>
  </si>
  <si>
    <r>
      <rPr>
        <sz val="10"/>
        <color theme="1"/>
        <rFont val="Arial"/>
      </rPr>
      <t xml:space="preserve">CoatShare connects occasional winter travellers in Singapore with coats they can borrow, rent or buy second-hand from the community.  The app recommends suitable coats based on destination and travel dates, allows side-by-side comparisons, and lets users set alerts for their desired coats – making it easy to stay warm with the cost or clutter of owning rarely-used winter wear.  The app thus provides a platform that nudges behavioural change towards sustainability, making it simple to choose sharing over buying. 
</t>
    </r>
    <r>
      <rPr>
        <b/>
        <sz val="10"/>
        <color theme="1"/>
        <rFont val="Arial"/>
      </rPr>
      <t xml:space="preserve">Key Features: </t>
    </r>
    <r>
      <rPr>
        <sz val="10"/>
        <color theme="1"/>
        <rFont val="Arial"/>
      </rPr>
      <t xml:space="preserve">
•        </t>
    </r>
    <r>
      <rPr>
        <b/>
        <sz val="10"/>
        <color theme="1"/>
        <rFont val="Arial"/>
      </rPr>
      <t>Personalised Recommendations</t>
    </r>
    <r>
      <rPr>
        <sz val="10"/>
        <color theme="1"/>
        <rFont val="Arial"/>
      </rPr>
      <t xml:space="preserve"> – Get coat suggestions tailored to your destination, travel dates and preferences. 
•        </t>
    </r>
    <r>
      <rPr>
        <b/>
        <sz val="10"/>
        <color theme="1"/>
        <rFont val="Arial"/>
      </rPr>
      <t>Availability Alerts</t>
    </r>
    <r>
      <rPr>
        <sz val="10"/>
        <color theme="1"/>
        <rFont val="Arial"/>
      </rPr>
      <t xml:space="preserve"> – Set alerts when no coats match your needs. 
•        </t>
    </r>
    <r>
      <rPr>
        <b/>
        <sz val="10"/>
        <color theme="1"/>
        <rFont val="Arial"/>
      </rPr>
      <t>Easy List</t>
    </r>
    <r>
      <rPr>
        <sz val="10"/>
        <color theme="1"/>
        <rFont val="Arial"/>
      </rPr>
      <t xml:space="preserve"> – List your idle coats to share with fellow travellers
•        </t>
    </r>
    <r>
      <rPr>
        <b/>
        <sz val="10"/>
        <color theme="1"/>
        <rFont val="Arial"/>
      </rPr>
      <t>Community Stories</t>
    </r>
    <r>
      <rPr>
        <sz val="10"/>
        <color theme="1"/>
        <rFont val="Arial"/>
      </rPr>
      <t xml:space="preserve"> – Connect with other travellers and contribute towards the movement for thoughtful travel and reducing textile waste.  
Authentication is needed to share or buy coats via the app. </t>
    </r>
  </si>
  <si>
    <t>Louis Sim</t>
  </si>
  <si>
    <t>SkillPathSG</t>
  </si>
  <si>
    <t>https://skillpathsg.lovable.app/</t>
  </si>
  <si>
    <t>structred pathway and tailored courses recommendation in the digital/tech space based on user interest</t>
  </si>
  <si>
    <t>Chua Chong Tzeh</t>
  </si>
  <si>
    <t>Vi Ting</t>
  </si>
  <si>
    <t>Nicolas Bureau</t>
  </si>
  <si>
    <t>Odyssey</t>
  </si>
  <si>
    <r>
      <rPr>
        <u/>
        <sz val="10"/>
        <color rgb="FF1155CC"/>
        <rFont val="Arial"/>
      </rPr>
      <t>https://techup5-odyssey.com/</t>
    </r>
    <r>
      <rPr>
        <b/>
        <sz val="10"/>
        <rFont val="Arial"/>
      </rPr>
      <t xml:space="preserve">
</t>
    </r>
    <r>
      <rPr>
        <sz val="10"/>
        <color rgb="FF000000"/>
        <rFont val="Arial"/>
        <scheme val="minor"/>
      </rPr>
      <t xml:space="preserve">Pwd for demo accounts: techup5
Pls feel free to apply online for "Account Creation" (as a Requestor from any Business Line)
</t>
    </r>
  </si>
  <si>
    <r>
      <rPr>
        <b/>
        <sz val="10"/>
        <rFont val="Arial"/>
      </rPr>
      <t xml:space="preserve">Odyssey </t>
    </r>
    <r>
      <rPr>
        <sz val="10"/>
        <rFont val="Arial"/>
      </rPr>
      <t xml:space="preserve">streamlines IMDA’s content workflows by centralising briefs, edits, approvals and version tracking into one clear process for the Communications and Marketing team and all Business Lines. It replaces lengthy email back-and-forth among all parties with clear stages, defined roles, and automated reminders that speed up collaboration and reduce rework. Online annotation on webpage and social post previews makes feedback simpler, and the built-in AI assistant suggests draft captions and web articles in IMDA’s tone and social personas, giving every team member a consistent base to build from.
Feature summary (no login):
</t>
    </r>
    <r>
      <rPr>
        <u/>
        <sz val="10"/>
        <color rgb="FF1155CC"/>
        <rFont val="Arial"/>
      </rPr>
      <t xml:space="preserve">https://techup5-odyssey.com/feature-summary
</t>
    </r>
    <r>
      <rPr>
        <sz val="10"/>
        <rFont val="Arial"/>
      </rPr>
      <t xml:space="preserve">Bedtime story (no login):
</t>
    </r>
    <r>
      <rPr>
        <u/>
        <sz val="10"/>
        <color rgb="FF1155CC"/>
        <rFont val="Arial"/>
      </rPr>
      <t>https://techup5-odyssey.com/user-manual</t>
    </r>
  </si>
  <si>
    <t>Loo Ruiqi</t>
  </si>
  <si>
    <t>Collaterals Must Share</t>
  </si>
  <si>
    <r>
      <rPr>
        <u/>
        <sz val="10"/>
        <color rgb="FF1155CC"/>
        <rFont val="Arial"/>
      </rPr>
      <t xml:space="preserve">https://comush.com
</t>
    </r>
    <r>
      <rPr>
        <sz val="10"/>
        <rFont val="Arial"/>
      </rPr>
      <t xml:space="preserve">There are 4 teams and 2 user roles. Test accounts:
</t>
    </r>
    <r>
      <rPr>
        <u/>
        <sz val="10"/>
        <rFont val="Arial"/>
      </rPr>
      <t xml:space="preserve">NTC team, regular user/requestor
</t>
    </r>
    <r>
      <rPr>
        <sz val="10"/>
        <rFont val="Arial"/>
      </rPr>
      <t xml:space="preserve">ruiqi.mci+ntc@gmail.com
UserPW012345
</t>
    </r>
    <r>
      <rPr>
        <u/>
        <sz val="10"/>
        <rFont val="Arial"/>
      </rPr>
      <t xml:space="preserve">SGTT team, regular user/requestor
</t>
    </r>
    <r>
      <rPr>
        <sz val="10"/>
        <rFont val="Arial"/>
      </rPr>
      <t xml:space="preserve">ruiqi.mci+sgtt@gmail.com
UserPW012345
</t>
    </r>
    <r>
      <rPr>
        <u/>
        <sz val="10"/>
        <rFont val="Arial"/>
      </rPr>
      <t>CT team, regular user/requestor</t>
    </r>
    <r>
      <rPr>
        <sz val="10"/>
        <rFont val="Arial"/>
      </rPr>
      <t xml:space="preserve">
ruiqi.mci+requestor@gmail.com
RequestorPW012345
</t>
    </r>
    <r>
      <rPr>
        <u/>
        <sz val="10"/>
        <rFont val="Arial"/>
      </rPr>
      <t>SGTT team, approver</t>
    </r>
    <r>
      <rPr>
        <sz val="10"/>
        <rFont val="Arial"/>
      </rPr>
      <t xml:space="preserve">
ruiqi.mci+approver@gmail.com
ApproverPW012345</t>
    </r>
  </si>
  <si>
    <t>Collaterals Must Share (CoMuSh) is a platform that facilitates the sharing of collaterals between teams while ensuring accurate stocktaking. It helps officers preparing for events easily identify existing collaterals suitable for use, seek the necessary approval to use the collaterals, and return any unused collaterals after events. It is currently tailored to the Translation Department but could potentially serve more teams.</t>
  </si>
  <si>
    <t>Weina Lai</t>
  </si>
  <si>
    <t>ChaTea 
[pronounced "chatty" to give a nod to the social aspects of the platform &amp; "cha" (茶) to give a nod to its chinese tea roots]</t>
  </si>
  <si>
    <r>
      <rPr>
        <u/>
        <sz val="10"/>
        <color rgb="FF1155CC"/>
        <rFont val="Arial"/>
      </rPr>
      <t>https://chatea.lovable.app/</t>
    </r>
    <r>
      <rPr>
        <sz val="10"/>
        <color rgb="FF000000"/>
        <rFont val="Arial"/>
        <scheme val="minor"/>
      </rPr>
      <t xml:space="preserve"> --&gt; sign in to access tea recommendations based on flavor profile quiz
</t>
    </r>
    <r>
      <rPr>
        <u/>
        <sz val="10"/>
        <color rgb="FF1155CC"/>
        <rFont val="Arial"/>
      </rPr>
      <t xml:space="preserve">https://chatea.lovable.app/profile/aniewial
</t>
    </r>
    <r>
      <rPr>
        <sz val="10"/>
        <color rgb="FF000000"/>
        <rFont val="Arial"/>
        <scheme val="minor"/>
      </rPr>
      <t xml:space="preserve">[need to figure out a custom domain brb; pls use these links first] </t>
    </r>
  </si>
  <si>
    <t xml:space="preserve">ChaTea bridges the Chinese tea discovery gap by matching tea-curious beginners with teas they'll love through personalized taste-matching and brewing guidance, while helping seasoned drinkers validate quality through community-validated, tea-specific reviews.  It solves for both the "where do I start?" and "is this tea actually good?" problems in one accessible platform.
</t>
  </si>
  <si>
    <t>Jerald Tan</t>
  </si>
  <si>
    <t>Ang Xinyao Desmond</t>
  </si>
  <si>
    <t>Race Radar SG</t>
  </si>
  <si>
    <t>https://raceradarsg.com/</t>
  </si>
  <si>
    <t>An app where races are reviewed on 4 metrices on whether it is conducive to chase a fast time.
They are:
1) Race Organisation
2) Distance Accuracy
3) Aid Station
4) Course Conditions
Where for (4), it is further broken down to:
a) Flatness
b) Bottlenecks
c) Road Closure
This app is community-driven, by runners for runners in bid to (1) help competitive runners go to well organised races to run fast and (2) for organisers to see this platform as feedback and over time improve race organising and hence increase overall racing performance in Singapore</t>
  </si>
  <si>
    <t>David Low</t>
  </si>
  <si>
    <t xml:space="preserve">Select your Web App Presentation Dates! </t>
  </si>
  <si>
    <t>17th November 2025 (Mon)</t>
  </si>
  <si>
    <t xml:space="preserve">18th November 2025 (Tue)        </t>
  </si>
  <si>
    <t>19th November 2025 (Wed)</t>
  </si>
  <si>
    <t>S/N</t>
  </si>
  <si>
    <t>09.30am - 1.00pm</t>
  </si>
  <si>
    <t>1.30pm - 5.00pm</t>
  </si>
  <si>
    <t>Clare Ng</t>
  </si>
  <si>
    <t>Gokul</t>
  </si>
  <si>
    <t>Ratna</t>
  </si>
  <si>
    <t xml:space="preserve">Ng Shi Kai </t>
  </si>
  <si>
    <t>chong tzeh</t>
  </si>
  <si>
    <t>Edmund</t>
  </si>
  <si>
    <t>William</t>
  </si>
  <si>
    <t>Marcus Moo</t>
  </si>
  <si>
    <t xml:space="preserve">Eric Chua </t>
  </si>
  <si>
    <t>Karen Ng</t>
  </si>
  <si>
    <t>Tan Pei-En</t>
  </si>
  <si>
    <t>Justyn</t>
  </si>
  <si>
    <t>Siti Hamimah</t>
  </si>
  <si>
    <t>Laurentia Ho</t>
  </si>
  <si>
    <t>Charmaine Chia</t>
  </si>
  <si>
    <t>Andy Ho</t>
  </si>
  <si>
    <t xml:space="preserve">Lai Wei Na </t>
  </si>
  <si>
    <t>No</t>
  </si>
  <si>
    <t>Subcategory</t>
  </si>
  <si>
    <t>Names</t>
  </si>
  <si>
    <t>Presented and passed</t>
  </si>
  <si>
    <t>Certificate Sent</t>
  </si>
  <si>
    <t>To be Sent</t>
  </si>
  <si>
    <t>Jocelyn, Edgar, Raymond, Ashley, Desmond</t>
  </si>
  <si>
    <t>Presented, did not pass</t>
  </si>
  <si>
    <t>To Tweak Web App</t>
  </si>
  <si>
    <t>Olivia, Nelle, Ivan, Clare</t>
  </si>
  <si>
    <t>To Re-present</t>
  </si>
  <si>
    <t>Han Qiang</t>
  </si>
  <si>
    <t>Yet to Present</t>
  </si>
  <si>
    <t>Submitted web app</t>
  </si>
  <si>
    <t>Jin Li, Sze Kay</t>
  </si>
  <si>
    <t>Did not submit web app</t>
  </si>
  <si>
    <t>Michelle, Seema, Zhiqi</t>
  </si>
  <si>
    <t>Total</t>
  </si>
  <si>
    <t>-</t>
  </si>
  <si>
    <t>Name</t>
  </si>
  <si>
    <t>Description of what your web app could do to 
solve the problem (1st Iteration)</t>
  </si>
  <si>
    <t>Cleared Quiz</t>
  </si>
  <si>
    <t>Passed TechUp?</t>
  </si>
  <si>
    <t>Name to appear on certificate</t>
  </si>
  <si>
    <t>Feedback on Problem Statement</t>
  </si>
  <si>
    <t>Problem Statement(2nd Iteration)</t>
  </si>
  <si>
    <t>Description of what your web app would do to solve the problem (2nd Iteration)</t>
  </si>
  <si>
    <t>Deadline: 1st Nov (Fri), EOD</t>
  </si>
  <si>
    <t>5th Nov (Tues)</t>
  </si>
  <si>
    <t>Deadline: 15th Nov (Fri), EOD</t>
  </si>
  <si>
    <t>Deadline: 8th Nov (Fri), EOD</t>
  </si>
  <si>
    <t>Majella Woo</t>
  </si>
  <si>
    <t>Jogging enthusiasts find it difficult to source for new jog-friendly routes on their own. It can get very mundane to keep to routined jogging routes or areas. This impacts motivation to keep to the hobby/sport, as it can take considerable effort to source for alternative jogging routes that are suited to the jogger's preference/needs.</t>
  </si>
  <si>
    <t>The web app seeks to provide alternative jogging routes for users based on the following indicators: distance to clock, amount of shelter, time of day, type of terrain, etc.</t>
  </si>
  <si>
    <r>
      <rPr>
        <sz val="10"/>
        <color theme="1"/>
        <rFont val="Arial"/>
      </rPr>
      <t xml:space="preserve">Problem statement is generally clear, depth is appropriate.
what's good: clear user and pain-point, clear hypothesis of consequence (hard to find new routes = less motivation).
</t>
    </r>
    <r>
      <rPr>
        <i/>
        <sz val="10"/>
        <color theme="1"/>
        <rFont val="Arial"/>
      </rPr>
      <t xml:space="preserve">sidenote: clarity of hypothesis ≠ it is the right problem to solve. it just means you have a clear hypothesis to test :)
</t>
    </r>
  </si>
  <si>
    <t>Lawrence Seng</t>
  </si>
  <si>
    <t>Tennis players aiming to improve their skills have to sign up for permanent coaches who charges by 10-lessons package or ad hoc ones which will cost more and then to have fixed session. And when player is free andf available, coaches may not be available to coach student.</t>
  </si>
  <si>
    <t>Proposed app will help to match a tennis player to a available tennis coach who is available for a ad hoc training session.</t>
  </si>
  <si>
    <t>what's good: 
- depth of problem is appropriate (but not clearly articluated, see feedback below)
could be better:
- target user partially clear - tennis players seeking skill improvement vs tennis players seeking coaching services (classes vs coaching)
- pain point unclear (mixed between pricing and scheduling issues)
- Consequences not clearly stated (why is does cost and availability matter to the user here?)</t>
  </si>
  <si>
    <t>Poh Kheng Thong</t>
  </si>
  <si>
    <t>Office workers often need to commute between their home and workplace during certain peak hours on working days. This results in overcrowding of certain places, e.g. CBD areas, public transport, because workers start and end work about the same time.</t>
  </si>
  <si>
    <t xml:space="preserve">A web app that recommends and guides workers to nearest satellite office premises (shared office facilities, assumed this is already in place) available through the island. Not only does it reduce overcrowding in CBD or public transport during peak hours, but also potentially encourage people to either walk/cycle to satellite office near them, thereby leading a more active life. The web app will recommend the route to user-selected satellite office on a Google Map.  </t>
  </si>
  <si>
    <t>what's good: 
- webapp description very detailed and hint at a problem that you’re trying to solve (try articulating this better in your problem statement to highlight what problem you’re trying to solve) 
could be better:
- user, painpoints and consequence is quite broad. There are many different kinds of office workers, are you refering specifically at people who work at CBD (vs offices in jurong, changi)?
- timing (peak hour, same start and end time) seems to be the highlighted issue. Clarify why this is a problem, to who and what happens if this isn’t solved for them</t>
  </si>
  <si>
    <t>Olivia Kam</t>
  </si>
  <si>
    <t>Many people are interested in trying new sports but are discouraged by the cost of equipment. Whereas, there are people who have unused or old equipment just lying around, that people can rent or share.</t>
  </si>
  <si>
    <t xml:space="preserve">A web app where users can rent, borrow, or lend sports equipment, making it more affordable to try new sports and reducing waste from unused gear. </t>
  </si>
  <si>
    <t>Consider elaborating on the consequences of the problem</t>
  </si>
  <si>
    <t>Fiona Tan</t>
  </si>
  <si>
    <t xml:space="preserve">Conservators, curators and donors/owners use condition reports to document the condition of the artefacts prior to donation/loan/exhibition, as it ensures accountability of mutual agreement of the before and after condition of these prized artefacts. While conservators use specific and technical terms in these documentation, it may not easily be understood by non-specialists, who have to sign off on these documents. This results in longer time and discussion before both parties agree and formalise the loan/donation process. </t>
  </si>
  <si>
    <t>A web app that translates the technical conservation terms like "foxing", "cockling" and "delamination" into easily understood terms with visual examples to help make the condition reporting process easier for non-technical participants.</t>
  </si>
  <si>
    <t>Clearly defined.</t>
  </si>
  <si>
    <t>Nicholas Ling</t>
  </si>
  <si>
    <t>(Improved) Novice runners when training alone, struggle to pace ourselves. This leads to fatigue, injury and loss of motivation.</t>
  </si>
  <si>
    <t>Possible solution: Provide real-time guidance using metrics like average pace, heart rate per minute, with audio or haptic alerts to keep runners within their optimal training zone, supported by mid-run motivational nudges for sustained focus and effort.
Outcome: Runners can make timely adjustments, reducing injury risk, sustaining enjoyment, and improving consistency.
Possible solution: Introduce virtual personas—select a running buddy to "run with you" for support; or a virtual coach to deliver advice and encouragement in real-time.
Outcome: Runners stay motivated, build healthy running routine, and experience a more enjoyable run.</t>
  </si>
  <si>
    <t>Problem statement is very clear, depth is appropriate.
what's good: 
- clear user (novice runners)
- clear pain point (pacing, motivation)
could be better:
- training alone seems to be the highlighted consequence. Can simply call out: “Novice runners when training alone struggle to pace themselves” &lt;- this statement construct makes it clear why pacing themselves is a problem (because they train alone)
- The statement’s intent is clear but be more readable :) 
for example: Novice runners when training alone [User + context], struggle to pace themselves [pain-point] leading to fatigue, injury and loss of motivation [consequence]</t>
  </si>
  <si>
    <t>Charlene Zeng</t>
  </si>
  <si>
    <t xml:space="preserve">When it comes to the weekend, parents usually have to come up with new places/ideas to bring their children to. Other than receiving newsletters, recommendations from friends, or social media, parents also have to source for activities suitable for their children. Sometimes, this results in a last minute scramble or a decision fatigue as parents run out of ideas. </t>
  </si>
  <si>
    <t xml:space="preserve">This web app seeks to provide recommendations for parents on activities or places to go to during the weekend. </t>
  </si>
  <si>
    <t>Problem statement is generally clear, depth is appropriate.
what's good: 
users (parents), painpoint (difficulty finding suitable weekend activities), and the consequence (last-minute scramble, decision fatigue) is clear
could be better:
- Readability could be better so that users, painpoint can easily be identify. Eg. Parents planning for weekend activities for their children vs When it comes to the weekend, parents usually have to come…
- Mentioning why current solutions (newsletters, social media) are inadequate; this will bolster the  onsequence portion.</t>
  </si>
  <si>
    <t>Rita Goh</t>
  </si>
  <si>
    <t xml:space="preserve">Seniors finds booking seats in library difficult. Pains - 1)The UI and UX could be difficult to navigate, 2)physical seat availability is not obvious, 3)they do not want to trouble staffs to ask. In time, they do not find library welcoming and might stop visiting. </t>
  </si>
  <si>
    <t>The webapp aims to mitigate first pain - functionality, i) simplify UI through usage of visual images with lesser text and ii) simplify UX flow in terms of steps reduced. Initial Usability testing of HTML prototype with one user, with 3 steps booking, offers the following improvements: 1) Include visual Seat Map 2) Include Date/Time at Confirmation Page.</t>
  </si>
  <si>
    <t>what's good:
- Target users clear (seniors), Pain points listed clearly (3 specific issues), Consequences stated (reduced library visits)
could be better:
- Depth is fragmented (mixing UI, physical, and social issues), good to be clearer on which level of the problem you're looking to tackle.
- Three painpoints were highlighted, identify the primary painpoint would make the statement sharper</t>
  </si>
  <si>
    <t>TianYun Chen</t>
  </si>
  <si>
    <t>While YouTube offers a vast selection of Pilates videos, practitioners who value quality instruction and variety often struggle to find videos that match their specific needs for the day. They may spend unnecessary time filtering through content to find an option that meets their standards for skill level, duration, and instructor style. Additionally, practicing regularly requires a diverse set of videos to stay engaged, yet finding fresh, high-quality content that fits can be overwhelming.</t>
  </si>
  <si>
    <t>The proposed web app will simplify the search for high-quality, free Pilates videos by offering a list of personalized recommendations based on users' skill levels, goals, and moods, utilizing advanced filtering options to refine search results.There may be features like a temporary "favorites" option for easy access to preferred videos.</t>
  </si>
  <si>
    <t>Problem statement is generally clear, depth is appropriate.
what's good: 
- Target users clear (Pilates practitioners seeking quality content), Pain points clear (time wasted filtering, finding quality/relevant content), Consequences clear (wasted time, potential disengagement)
could be better:
- statement can structured better for readability (but the statement itself is quite clear)</t>
  </si>
  <si>
    <t>Vincent Li</t>
  </si>
  <si>
    <r>
      <rPr>
        <sz val="10"/>
        <color theme="1"/>
        <rFont val="Arial"/>
      </rPr>
      <t xml:space="preserve">Singapore Sign Language (SgSL) is an essential skill for communicating with the Deaf community in Singapore, which unlike traditional languages, suffers from a lack of translation tools for new-learners.
</t>
    </r>
    <r>
      <rPr>
        <u/>
        <sz val="10"/>
        <color theme="1"/>
        <rFont val="Arial"/>
      </rPr>
      <t>People who wish to learn SgSL online</t>
    </r>
    <r>
      <rPr>
        <sz val="10"/>
        <color theme="1"/>
        <rFont val="Arial"/>
      </rPr>
      <t xml:space="preserve">, either for personal, educational, or professional reasons often find it very challanging to find resources online that are quick and easy to learn from, given SgSL resources are predominantly offline or tends to focus on archiving signs rather than making it easy to learn from. Resources seem mostly focused on helping experienced learners improve.
The lack of convenient, accessible, and intuitive centralized tools to learn SgSL makes it difficult for learners, especially those who are just getting started, which hurts the adoption rate of SgSL, even for the most willing learners. This creates artifical barriers to communicating with the Deaf community, hurting their overall wellbeing. </t>
    </r>
  </si>
  <si>
    <t xml:space="preserve">Create a webapp for accessible first-cut of sign "words" and "phrases", which may not translate phrases completely grammertically correctly, but teaches the appropriate component signs that make up the phrase, making learning quicker and easier. 
e.g. Translating the phrase "I want to eat chicken rice" into the signs (and/or individual SgSL alphabet spelling) for each of the componens "I" "want" "eat" "chicken" "rice" and showing the picture/video/GIF of each side-by-side for easy and fast learning. 
The signs can be sourced from various SgSL databases (currently quite clunky to learn from, but serve as excellent data sources)
</t>
  </si>
  <si>
    <t xml:space="preserve">Clear and demonstrates an understanding of the target users, their pain points, and the consequences. </t>
  </si>
  <si>
    <t>Kenneth Wong</t>
  </si>
  <si>
    <t>People looking for places to eat need to quickly find options that match their preferences, especially in unfamiliar locations or when time is limited. This leads to wasted time and frustration because most food search platforms lack sufficient filtering options to tailor results to specific preferences or requirements.</t>
  </si>
  <si>
    <t>The web app will help users quickly find dining options by allowing them to search for places to eat based on location and customizable filters. It will provide relevant results tailored to their preferences, making the process of finding suitable places faster and more efficient.</t>
  </si>
  <si>
    <t>what's good: 
- Pain point clear (inefficient food search)
- Consequences stated (wasted time, frustration)
could be better:
- Target user too broad ('people' vs office worker vs tourist) because this impacts pain-points and consequence - eg. office worker has greater time concern than tourist</t>
  </si>
  <si>
    <t>Prepopulate the database automatically
Dietry requirements filter option addon (low salt, keto, etc)</t>
  </si>
  <si>
    <t>Busy individuals, such as office workers on a lunch break or tourists exploring new areas, often face the challenge of finding dining options that match their specific dietary needs or preferences within limited timeframes. This process is frequently frustrating and inefficient, as existing food search platforms lack precise filtering options to tailor results effectively, resulting in wasted time and potential compromises on dietary requirements.</t>
  </si>
  <si>
    <t>The web app is designed to streamline the search for suitable dining options, catering specifically to users with time-sensitive needs, such as office workers and tourists. By allowing users to search based on location and apply detailed, customizable filters for dietary preferences and requirements, the app provides a curated list of relevant dining choices. This efficient, user-centric approach saves time and minimizes frustration, making it easier to find appropriate places to eat without compromising on personal or dietary needs.</t>
  </si>
  <si>
    <t>Jasmine Leong</t>
  </si>
  <si>
    <t>Bubble tea connoisseurs in Singapore can choose from a wide variety of flavours and shops, when it comes to their favourite drink. However, not all shops will display their menu and prices online, which leads to wasted time and frustration by going down to the physical shop to find out what's available. They are also less likely to support smaller local shops with unique flavours without an online presence, because it can be more tedious.</t>
  </si>
  <si>
    <t>The web app, BubbleTeaGoWhere, aims to help users search from a consolidated list of bubble tea drinks and its respective prices, across various shops in Singapore. Users can also search for the  bubble tea shop nearest to them, based on their postal code.</t>
  </si>
  <si>
    <t>Problem statement is generally clear, depth is appropriate.
what's good: 
✓ Target users clear (bubble tea connoisseurs in Singapore)
✓ Pain points clear (lack of online menus/prices)
✓ Consequences clear (wasted trips, missing unique local options)
✓ problem depth is appropriate with good market context</t>
  </si>
  <si>
    <t>Colin Chan</t>
  </si>
  <si>
    <t>When searching for homes, buyers often have to navigate multiple real estate platforms to find suitable listings to shortlist. However, there is no place for them to compare different shortlisted properties at a glance. This introduces friction into the home purchase process and could even cause the buyer to overlook listing attributes that might have a material impact on their house search. For example, a buyer could overlook a dealbreaker in a house, which could then result in them wasting their time visiting the house only to realise the dealbreaker then.</t>
  </si>
  <si>
    <t xml:space="preserve">My proposed web app would take in 2-3 listing URLs from different websites as input, then use an OpenAI or other suitable LLM API to parse the contents of each listing to generate a single comparison table, which can be exported as a pdf for easy reference later. </t>
  </si>
  <si>
    <t>Problem statement is very clear, depth is appropriate.
what's good: 
✓ Target users clear (home buyers)
✓ Pain points clear (difficulty comparing across platforms)
✓ Consequences clear and specific (wasted viewings, missed dealbreakers)
✓ problem depth is good with concrete example</t>
  </si>
  <si>
    <t>Audrey Hau</t>
  </si>
  <si>
    <t>Many working millennials and Gen Zs enjoy eating out or drinking socially during their leisure time, but may struggle to find affordable eateries or bars to patronise, particularly as F&amp;B prices continue to increase. While there are many applications and websites that provide food recommendations, there is no consolidated page for eateries that provide a value-for-money experience, especially with millennial/Gen Z tastes and preferences in mind. This might either deter this demographic from eating out, or cause them to spend more as they are unaware of where the value-for-money options are.</t>
  </si>
  <si>
    <t xml:space="preserve">A webpage that consolidates information on which bars/ pubs have happy hours, what drinks are available, and what the price range is. The recommendations can be filtered by location, price range, or happy hour timing.
</t>
  </si>
  <si>
    <t>Teo Kean Loong (Josh)</t>
  </si>
  <si>
    <t>Generation Z, particularly individuals aged 12-27, who face high rates of anxiety, depression, and stress. Need to access mental health support during critical developmental stages, especially in schools, workplaces, and online platforms where they spend most of their time. This results in increased difficulty managing academic, social, and professional pressures, alongside diminished well-being and reduced engagement in daily activities. Because mental health resources tailored to their unique digital-first, high-expectation lifestyles are limited, and the constant exposure to social media and high-stress environments amplifies their mental health challenges.</t>
  </si>
  <si>
    <t>The web app aims to serve as a comprehensive mental wellness platform designed to support Generation Z by aggregating accessible mental health resources, local programs, and activities within Singapore. It tailors information by geolocation, offering users nearby events, support groups, and services, while also sharing global best practices and initiatives that have positively impacted mental health in other countries. Users can explore articles, videos, and other content focused on managing mental health challenges in a digital and high-pressure world.
Beyond information, the app fosters community by offering features that encourage real-world connection. A meet-up tool facilitates group activities, wellness workshops, and support groups, while a buddy system pairs users with similar wellness interests. With personalized recommendations, daily check-ins, and a focus on connection, the app aims to provide an accessible support network that resonates with Gen Z’s digital lifestyle and unique mental health needs.</t>
  </si>
  <si>
    <r>
      <rPr>
        <b/>
        <sz val="11"/>
        <rFont val="Arial"/>
      </rPr>
      <t xml:space="preserve">Problem Statement
What's good:
</t>
    </r>
    <r>
      <rPr>
        <sz val="11"/>
        <rFont val="Arial"/>
      </rPr>
      <t>✓</t>
    </r>
    <r>
      <rPr>
        <b/>
        <sz val="11"/>
        <rFont val="Arial"/>
      </rPr>
      <t xml:space="preserve"> Pain points </t>
    </r>
    <r>
      <rPr>
        <sz val="11"/>
        <rFont val="Arial"/>
      </rPr>
      <t xml:space="preserve">clear (limited access to mental health resources tailored to Gen Z’s digital-first, high-stress lifestyles; constant exposure to social media and high-stress environments)
✓ </t>
    </r>
    <r>
      <rPr>
        <b/>
        <sz val="11"/>
        <rFont val="Arial"/>
      </rPr>
      <t>Consequences</t>
    </r>
    <r>
      <rPr>
        <sz val="11"/>
        <rFont val="Arial"/>
      </rPr>
      <t xml:space="preserve"> clear (increased difficulty managing academic, social, and professional pressures; diminished well-being and reduced engagement in daily activities)
✓ </t>
    </r>
    <r>
      <rPr>
        <b/>
        <sz val="11"/>
        <rFont val="Arial"/>
      </rPr>
      <t>Problem depth</t>
    </r>
    <r>
      <rPr>
        <sz val="11"/>
        <rFont val="Arial"/>
      </rPr>
      <t xml:space="preserve"> is appropriate with strong context around the unique mental health challenges Gen Z faces due to digital exposure, societal expectations, and the scarcity of accessible, tailored mental health resources.
</t>
    </r>
    <r>
      <rPr>
        <b/>
        <sz val="11"/>
        <rFont val="Arial"/>
      </rPr>
      <t>Can be improved:
- Target User Group:</t>
    </r>
    <r>
      <rPr>
        <sz val="11"/>
        <rFont val="Arial"/>
      </rPr>
      <t xml:space="preserve"> Can be more specific: Choose a primary user e.g. Tertiary students in Singapore e.g. Polytechnic/JC aged 17-20 OR Gen Z in Singapores aged 20 to 25 in their first jobs etc
</t>
    </r>
    <r>
      <rPr>
        <b/>
        <sz val="11"/>
        <rFont val="Arial"/>
      </rPr>
      <t xml:space="preserve">- Narrower scope: </t>
    </r>
    <r>
      <rPr>
        <sz val="11"/>
        <rFont val="Arial"/>
      </rPr>
      <t>Current scope is too broad, the interventions for schools and workplaces might be different
- Be more concise
For</t>
    </r>
    <r>
      <rPr>
        <b/>
        <sz val="11"/>
        <rFont val="Arial"/>
      </rPr>
      <t xml:space="preserve"> insights on workplace mental well-being,</t>
    </r>
    <r>
      <rPr>
        <sz val="11"/>
        <rFont val="Arial"/>
      </rPr>
      <t xml:space="preserve"> this user research report highlights key pain points: </t>
    </r>
    <r>
      <rPr>
        <u/>
        <sz val="11"/>
        <color rgb="FF1155CC"/>
        <rFont val="Arial"/>
      </rPr>
      <t>link</t>
    </r>
    <r>
      <rPr>
        <sz val="11"/>
        <rFont val="Arial"/>
      </rPr>
      <t xml:space="preserve">
</t>
    </r>
    <r>
      <rPr>
        <b/>
        <sz val="11"/>
        <color rgb="FF674EA7"/>
        <rFont val="Arial"/>
      </rPr>
      <t xml:space="preserve">An example below on how to improve problem statement in this format: </t>
    </r>
    <r>
      <rPr>
        <i/>
        <sz val="11"/>
        <color rgb="FF674EA7"/>
        <rFont val="Arial"/>
      </rPr>
      <t>(</t>
    </r>
    <r>
      <rPr>
        <i/>
        <sz val="11"/>
        <rFont val="Arial"/>
      </rPr>
      <t>Kindly refine problem statement in your own words)</t>
    </r>
    <r>
      <rPr>
        <b/>
        <sz val="11"/>
        <rFont val="Arial"/>
      </rPr>
      <t xml:space="preserve">
[Background Context] </t>
    </r>
    <r>
      <rPr>
        <sz val="11"/>
        <rFont val="Arial"/>
      </rPr>
      <t xml:space="preserve">Polytechnic and JC students in Singapore, aged 17-20, face high rates of anxiety and stress as they navigate academic pressures and social expectations in a digital-first world.
</t>
    </r>
    <r>
      <rPr>
        <b/>
        <sz val="11"/>
        <rFont val="Arial"/>
      </rPr>
      <t>This causes problem for: t</t>
    </r>
    <r>
      <rPr>
        <sz val="11"/>
        <rFont val="Arial"/>
      </rPr>
      <t xml:space="preserve">ertiary students who need accessible, tailored mental health support.
</t>
    </r>
    <r>
      <rPr>
        <b/>
        <sz val="11"/>
        <rFont val="Arial"/>
      </rPr>
      <t>because: t</t>
    </r>
    <r>
      <rPr>
        <sz val="11"/>
        <rFont val="Arial"/>
      </rPr>
      <t xml:space="preserve">hey struggle to manage academic and social pressures, with limited resources and constant social media exposure amplifying their challenges.
</t>
    </r>
    <r>
      <rPr>
        <b/>
        <sz val="11"/>
        <rFont val="Arial"/>
      </rPr>
      <t>This is important because: i</t>
    </r>
    <r>
      <rPr>
        <sz val="11"/>
        <rFont val="Arial"/>
      </rPr>
      <t>t impacts their well-being, academic performance, and personal development.</t>
    </r>
    <r>
      <rPr>
        <u/>
        <sz val="11"/>
        <color rgb="FF1155CC"/>
        <rFont val="Arial"/>
      </rPr>
      <t xml:space="preserve">
</t>
    </r>
    <r>
      <rPr>
        <sz val="11"/>
        <rFont val="Arial"/>
      </rPr>
      <t xml:space="preserve">--
</t>
    </r>
    <r>
      <rPr>
        <b/>
        <sz val="11"/>
        <color rgb="FFA64D79"/>
        <rFont val="Arial"/>
      </rPr>
      <t xml:space="preserve">Might need to consider reworking proposed solution to identify the gap in the market: </t>
    </r>
    <r>
      <rPr>
        <b/>
        <sz val="11"/>
        <color rgb="FF674EA7"/>
        <rFont val="Arial"/>
      </rPr>
      <t xml:space="preserve">There are existing solutions that already provide some of the functionality of your proposed solution. </t>
    </r>
    <r>
      <rPr>
        <b/>
        <sz val="11"/>
        <rFont val="Arial"/>
      </rPr>
      <t xml:space="preserve">
1.</t>
    </r>
    <r>
      <rPr>
        <b/>
        <u/>
        <sz val="11"/>
        <color rgb="FF1155CC"/>
        <rFont val="Arial"/>
      </rPr>
      <t xml:space="preserve"> Intellect</t>
    </r>
    <r>
      <rPr>
        <sz val="11"/>
        <rFont val="Arial"/>
      </rPr>
      <t xml:space="preserve">
A Singapore-based mental health app providing self-guided programs and access to licensed professionals, focusing on personal development and mental well-being.
</t>
    </r>
    <r>
      <rPr>
        <b/>
        <sz val="11"/>
        <rFont val="Arial"/>
      </rPr>
      <t xml:space="preserve">2. </t>
    </r>
    <r>
      <rPr>
        <b/>
        <u/>
        <sz val="11"/>
        <color rgb="FF1155CC"/>
        <rFont val="Arial"/>
      </rPr>
      <t>MindFi</t>
    </r>
    <r>
      <rPr>
        <sz val="11"/>
        <rFont val="Arial"/>
      </rPr>
      <t xml:space="preserve">
A corporate mental health and wellness platform offering guided self-care programs and intelligent matching with coaches and therapists, emphasizing data confidentiality and cultural relevance. 
</t>
    </r>
    <r>
      <rPr>
        <b/>
        <u/>
        <sz val="11"/>
        <color rgb="FF1155CC"/>
        <rFont val="Arial"/>
      </rPr>
      <t>3. Mindline.sg</t>
    </r>
    <r>
      <rPr>
        <sz val="11"/>
        <rFont val="Arial"/>
      </rPr>
      <t xml:space="preserve">
A government initiative offering a range of mental health resources, including self-assessment tools and access to support services, aimed at promoting mental well-being among Singaporeans
</t>
    </r>
    <r>
      <rPr>
        <b/>
        <sz val="11"/>
        <rFont val="Arial"/>
      </rPr>
      <t xml:space="preserve">4. </t>
    </r>
    <r>
      <rPr>
        <b/>
        <u/>
        <sz val="11"/>
        <color rgb="FF1155CC"/>
        <rFont val="Arial"/>
      </rPr>
      <t>Calm Collective Asia</t>
    </r>
    <r>
      <rPr>
        <sz val="11"/>
        <rFont val="Arial"/>
      </rPr>
      <t xml:space="preserve">
An online platform providing mental health resources, including articles, podcasts, and virtual and </t>
    </r>
    <r>
      <rPr>
        <u/>
        <sz val="11"/>
        <color rgb="FF1155CC"/>
        <rFont val="Arial"/>
      </rPr>
      <t>in-person events</t>
    </r>
    <r>
      <rPr>
        <sz val="11"/>
        <rFont val="Arial"/>
      </rPr>
      <t xml:space="preserve">, focusing on mental well-being in the Asian context.
5. </t>
    </r>
    <r>
      <rPr>
        <b/>
        <u/>
        <sz val="11"/>
        <color rgb="FF1155CC"/>
        <rFont val="Arial"/>
      </rPr>
      <t xml:space="preserve">Huddleverse
</t>
    </r>
    <r>
      <rPr>
        <sz val="11"/>
        <rFont val="Arial"/>
      </rPr>
      <t>An app that allows individuals facing mental health issues to support one another, acting like a social media feed for users to share their feelings and experiences.</t>
    </r>
  </si>
  <si>
    <r>
      <rPr>
        <sz val="10"/>
        <color theme="1"/>
        <rFont val="Arial"/>
      </rPr>
      <t xml:space="preserve">i spoke to 2 interviewees. Female (25) working, Male (24) interning.
</t>
    </r>
    <r>
      <rPr>
        <b/>
        <sz val="10"/>
        <color theme="1"/>
        <rFont val="Arial"/>
      </rPr>
      <t>Female</t>
    </r>
    <r>
      <rPr>
        <sz val="10"/>
        <color theme="1"/>
        <rFont val="Arial"/>
      </rPr>
      <t xml:space="preserve"> respondent shared that she resonated with the the detioration of mental health in her friends and her. they kind of want help but not sure where to go, who to look out for, no trusted source of into to go to. often feeling anxious, worried and stress, not knowing what to do. they dont know if they should keep it to themselves and dont know how serious must it be, before seeking for help. 
she generally would not reach out to friends about mental health topic unless her friend mentions it, where then she would share about her mental state. 
Generally she would journal it down, go online and search for answers but there's no one authority source she would choose. she mentioned sometimes while searching for the topic, she would add the word reddit to help her zoom in onto what others are talking about.
</t>
    </r>
    <r>
      <rPr>
        <b/>
        <sz val="10"/>
        <color theme="1"/>
        <rFont val="Arial"/>
      </rPr>
      <t>Male</t>
    </r>
    <r>
      <rPr>
        <sz val="10"/>
        <color theme="1"/>
        <rFont val="Arial"/>
      </rPr>
      <t xml:space="preserve"> respondent shared that his stressful moments are about the pre and post full time working stages. anxiety comes from how to createnetwork and skillset so as to be hired as full-timer and maintain continious progress at work. the image he protray at work also contributesto his stress as it will affect his chances of being hired.
competition amoung peers about pay, positions, company's reputation creates uncessary stress for him. a constant annoyance in life. sometimes he might be thinking it until he falls asleep. point to note, he feels that some stress is good as it keps him at his toes and motivates him to do better at current stage.
some coping mechanism he mentioned were, being objective with the situation and think of what he can do and don't think that it's the end of the work. he will also play computer games, exercise like running and football and MMA or watch comedy, sitcoms or drama totake his mind away to another place.</t>
    </r>
  </si>
  <si>
    <t>i will try to see how can i make the questionaire more concise and provide some sort of feedback so users can track their mental health progress. make sure that users are being heard is very important.
will also see how can i show base on their questionaire results, they'll be provided with resources tailored to their needs. I might have to remove the conversation with stranger/ group setting as user don't think they want to share their private info with strangers unless professionals.
to provide description on the actionable items IE: decription and benefits of meditation, breatheworks, yoga... 
provide check-ins of current emotional/ mental state. introduce few quick exercise. if short of time, maybe breathework, if abit more time can practice yoga. videos and article too.</t>
  </si>
  <si>
    <t>young working adults in singapore, aged 22-27, face high rates of anxiety and stress as they navigate professional pressures and social expectations in a digital-first world.
this causes problem for young working adults who need accessible, tailored mental health support,
because they struggle to manage professional and social pressures, with limited resources and constant social media exposure amplifying their challenges.
this is important because it impacts their well-being, professional performance and personal development.</t>
  </si>
  <si>
    <t>a place to help young adult know where they might be in terms of their mental health, what steps can they do to seek help. help them understand their emotional experiences, resources to manage and process their emotions. a place where they can be heard, also a place where it will check-in with them on their current status and to remind them to do some activity base on the time they can afford to.</t>
  </si>
  <si>
    <t>Darren Wong</t>
  </si>
  <si>
    <t>Many individuals and families face challenges in meal planning due to busy schedules, dietary restrictions, and decision fatigue from the overwhelming number of online recipes. This often leads to food waste, unnecessary grocery spending, and a reliance on unhealthy or takeout options. The problem occurs mainly during grocery shopping and meal preparation, as people struggle to find suitable, time-efficient recipes that make the most of available ingredients while catering to their dietary needs.</t>
  </si>
  <si>
    <t>The proposed application, RecipeHub, aims to address these challenges by providing a smart recipe recommendation platform that simplifies meal planning and cooking for users. The app allows users to input the ingredients they currently have on hand, filter recipes based on dietary preferences and time constraints, and receive personalized recommendations tailored to their unique tastes.</t>
  </si>
  <si>
    <r>
      <t xml:space="preserve">Problem statement is clear and provides a good level of detail with a well-defined target group, clear pain points, and consequences of inaction. It effectively scopes the problem without being too abstract or granular.
</t>
    </r>
    <r>
      <rPr>
        <b/>
        <sz val="10"/>
        <rFont val="Arial"/>
      </rPr>
      <t xml:space="preserve">What's good:
</t>
    </r>
    <r>
      <rPr>
        <sz val="10"/>
        <color rgb="FF000000"/>
        <rFont val="Arial"/>
        <scheme val="minor"/>
      </rPr>
      <t xml:space="preserve">✓ Target users clear (individuals and families who experience challenges with meal planning due to busy schedules and dietary restrictions)
✓ Pain points clear (decision fatigue from too many online recipes, difficulty finding suitable recipes, and the challenges of catering to dietary needs)
✓ Consequences clear (food waste, unnecessary grocery spending, and increased reliance on unhealthy or takeout options)
✓ Problem depth is appropriate with context around common issues like busy schedules, dietary restrictions, and the overwhelming choice of recipes online, which all contribute to ineffective meal planning.
</t>
    </r>
    <r>
      <rPr>
        <b/>
        <sz val="10"/>
        <rFont val="Arial"/>
      </rPr>
      <t xml:space="preserve">Can be improved:
</t>
    </r>
    <r>
      <rPr>
        <b/>
        <sz val="10"/>
        <color rgb="FFA64D79"/>
        <rFont val="Arial"/>
      </rPr>
      <t xml:space="preserve">Target users: </t>
    </r>
    <r>
      <rPr>
        <sz val="10"/>
        <color rgb="FFA64D79"/>
        <rFont val="Arial"/>
      </rPr>
      <t>Based in Singapore, target age range, dietary. needs?</t>
    </r>
    <r>
      <rPr>
        <b/>
        <sz val="10"/>
        <rFont val="Arial"/>
      </rPr>
      <t xml:space="preserve">
Depth: </t>
    </r>
    <r>
      <rPr>
        <sz val="10"/>
        <color rgb="FF000000"/>
        <rFont val="Arial"/>
        <scheme val="minor"/>
      </rPr>
      <t xml:space="preserve">Could be enhanced by providing examples of specific dietary restrictions or situations that lead to food waste, which would help to illustrate the diversity of the challenges.
--
</t>
    </r>
    <r>
      <rPr>
        <b/>
        <sz val="10"/>
        <color rgb="FF674EA7"/>
        <rFont val="Arial"/>
      </rPr>
      <t xml:space="preserve">An example below on how to improve problem statement in this format: </t>
    </r>
    <r>
      <rPr>
        <i/>
        <sz val="10"/>
        <rFont val="Arial"/>
      </rPr>
      <t>(Kindly refine problem statement in your own words)</t>
    </r>
    <r>
      <rPr>
        <sz val="10"/>
        <color rgb="FF000000"/>
        <rFont val="Arial"/>
        <scheme val="minor"/>
      </rPr>
      <t xml:space="preserve">
</t>
    </r>
    <r>
      <rPr>
        <b/>
        <sz val="10"/>
        <rFont val="Arial"/>
      </rPr>
      <t xml:space="preserve">[Background context] </t>
    </r>
    <r>
      <rPr>
        <sz val="10"/>
        <color rgb="FF000000"/>
        <rFont val="Arial"/>
        <scheme val="minor"/>
      </rPr>
      <t xml:space="preserve">
</t>
    </r>
    <r>
      <rPr>
        <u/>
        <sz val="10"/>
        <color rgb="FF674EA7"/>
        <rFont val="Arial"/>
      </rPr>
      <t xml:space="preserve">In Singapore, young professionals aged 25-35 struggle </t>
    </r>
    <r>
      <rPr>
        <sz val="10"/>
        <color rgb="FF000000"/>
        <rFont val="Arial"/>
        <scheme val="minor"/>
      </rPr>
      <t xml:space="preserve">with meal planning due to busy schedules and overwhelming recipe options. Health-conscious and often in dual-income households, they prioritise convenient, balanced meals that meet dietary needs like </t>
    </r>
    <r>
      <rPr>
        <u/>
        <sz val="10"/>
        <color rgb="FF674EA7"/>
        <rFont val="Arial"/>
      </rPr>
      <t>vegetarian, halal, and low-carb preferences etc</t>
    </r>
    <r>
      <rPr>
        <sz val="10"/>
        <color rgb="FF000000"/>
        <rFont val="Arial"/>
        <scheme val="minor"/>
      </rPr>
      <t xml:space="preserve">.
</t>
    </r>
    <r>
      <rPr>
        <b/>
        <sz val="10"/>
        <rFont val="Arial"/>
      </rPr>
      <t xml:space="preserve">This causes problem for: </t>
    </r>
    <r>
      <rPr>
        <sz val="10"/>
        <color rgb="FF000000"/>
        <rFont val="Arial"/>
        <scheme val="minor"/>
      </rPr>
      <t xml:space="preserve">busy households who aim to prepare balanced and satisfying meals.
</t>
    </r>
    <r>
      <rPr>
        <b/>
        <sz val="10"/>
        <rFont val="Arial"/>
      </rPr>
      <t xml:space="preserve">because: </t>
    </r>
    <r>
      <rPr>
        <sz val="10"/>
        <color rgb="FF000000"/>
        <rFont val="Arial"/>
        <scheme val="minor"/>
      </rPr>
      <t xml:space="preserve">they face decision fatigue and difficulty in selecting recipes that fit their dietary needs (e.g., vegetarian, gluten-free, or low-carb) and use available ingredients efficiently. As a result, they often end up buying unnecessary groceries, wasting food, or resorting to unhealthy takeout options.
</t>
    </r>
    <r>
      <rPr>
        <b/>
        <sz val="10"/>
        <rFont val="Arial"/>
      </rPr>
      <t>This is important because: i</t>
    </r>
    <r>
      <rPr>
        <sz val="10"/>
        <color rgb="FF000000"/>
        <rFont val="Arial"/>
        <scheme val="minor"/>
      </rPr>
      <t xml:space="preserve">t leads to increased food waste, extra grocery expenses, and a reliance on less nutritious meals, all of which undermine both personal health goals and broader sustainability efforts.
--
</t>
    </r>
    <r>
      <rPr>
        <b/>
        <sz val="10"/>
        <color rgb="FFA64D79"/>
        <rFont val="Arial"/>
      </rPr>
      <t xml:space="preserve">Might need to consider reworking proposed solution:
</t>
    </r>
    <r>
      <rPr>
        <b/>
        <sz val="10"/>
        <color rgb="FF674EA7"/>
        <rFont val="Arial"/>
      </rPr>
      <t>There are existing solutions that already provide some of the functionality of your proposed solution.</t>
    </r>
    <r>
      <rPr>
        <sz val="10"/>
        <color rgb="FF000000"/>
        <rFont val="Arial"/>
        <scheme val="minor"/>
      </rPr>
      <t xml:space="preserve">
</t>
    </r>
    <r>
      <rPr>
        <b/>
        <sz val="10"/>
        <rFont val="Arial"/>
      </rPr>
      <t>MealBoard</t>
    </r>
    <r>
      <rPr>
        <sz val="10"/>
        <color rgb="FF000000"/>
        <rFont val="Arial"/>
        <scheme val="minor"/>
      </rPr>
      <t xml:space="preserve">
An app that combines recipe management, meal planning, and grocery list generation. Users can import recipes, plan meals, and generate shopping lists based on their plans. It also allows users to input available ingredients to find suitable recipes.
</t>
    </r>
    <r>
      <rPr>
        <u/>
        <sz val="10"/>
        <color rgb="FF1155CC"/>
        <rFont val="Arial"/>
      </rPr>
      <t>MealBoard</t>
    </r>
    <r>
      <rPr>
        <sz val="10"/>
        <color rgb="FF000000"/>
        <rFont val="Arial"/>
        <scheme val="minor"/>
      </rPr>
      <t xml:space="preserve">
</t>
    </r>
    <r>
      <rPr>
        <b/>
        <sz val="10"/>
        <rFont val="Arial"/>
      </rPr>
      <t>Yummly</t>
    </r>
    <r>
      <rPr>
        <sz val="10"/>
        <color rgb="FF000000"/>
        <rFont val="Arial"/>
        <scheme val="minor"/>
      </rPr>
      <t xml:space="preserve">
A comprehensive app offering personalized recipe recommendations, meal planning, and grocery shopping assistance. Users can filter recipes based on dietary preferences, ingredients on hand, and cooking skills. Yummly also provides instructional videos and integrates with smart appliances.
</t>
    </r>
    <r>
      <rPr>
        <u/>
        <sz val="10"/>
        <color rgb="FF1155CC"/>
        <rFont val="Arial"/>
      </rPr>
      <t>Yummly</t>
    </r>
    <r>
      <rPr>
        <sz val="10"/>
        <color rgb="FF000000"/>
        <rFont val="Arial"/>
        <scheme val="minor"/>
      </rPr>
      <t xml:space="preserve">
</t>
    </r>
    <r>
      <rPr>
        <b/>
        <sz val="10"/>
        <rFont val="Arial"/>
      </rPr>
      <t>Eat This Much</t>
    </r>
    <r>
      <rPr>
        <sz val="10"/>
        <color rgb="FF000000"/>
        <rFont val="Arial"/>
        <scheme val="minor"/>
      </rPr>
      <t xml:space="preserve">
An automatic meal planner that generates meal plans based on user preferences, dietary goals, and available ingredients. It helps users adhere to specific calorie targets and dietary restrictions by providing tailored recipes and grocery lists.
</t>
    </r>
    <r>
      <rPr>
        <u/>
        <sz val="10"/>
        <color rgb="FF1155CC"/>
        <rFont val="Arial"/>
      </rPr>
      <t xml:space="preserve">Eat This Much
</t>
    </r>
    <r>
      <rPr>
        <sz val="10"/>
        <color rgb="FF000000"/>
        <rFont val="Arial"/>
        <scheme val="minor"/>
      </rPr>
      <t xml:space="preserve">
</t>
    </r>
    <r>
      <rPr>
        <b/>
        <sz val="10"/>
        <rFont val="Arial"/>
      </rPr>
      <t>YoRipe</t>
    </r>
    <r>
      <rPr>
        <sz val="10"/>
        <color rgb="FF000000"/>
        <rFont val="Arial"/>
        <scheme val="minor"/>
      </rPr>
      <t xml:space="preserve">
A local app featuring a vast collection of Asian-inspired recipes. Users can input dietary preferences and available ingredients to receive tailored recipe suggestions. The app also offers meal planning features and grocery list generation.
</t>
    </r>
    <r>
      <rPr>
        <u/>
        <sz val="10"/>
        <color rgb="FF1155CC"/>
        <rFont val="Arial"/>
      </rPr>
      <t>YoRipe</t>
    </r>
    <r>
      <rPr>
        <sz val="10"/>
        <color rgb="FF000000"/>
        <rFont val="Arial"/>
        <scheme val="minor"/>
      </rPr>
      <t xml:space="preserve">
</t>
    </r>
    <r>
      <rPr>
        <b/>
        <sz val="10"/>
        <rFont val="Arial"/>
      </rPr>
      <t>SamsungFood</t>
    </r>
    <r>
      <rPr>
        <sz val="10"/>
        <color rgb="FF000000"/>
        <rFont val="Arial"/>
        <scheme val="minor"/>
      </rPr>
      <t xml:space="preserve">
An app that enables users to save recipes from various sources, create meal plans, and generate shopping lists. Whisk integrates with multiple grocery delivery services, allowing users to order ingredients directly through the app. It also offers collaborative features for shared meal planning.
</t>
    </r>
    <r>
      <rPr>
        <u/>
        <sz val="10"/>
        <color rgb="FF1155CC"/>
        <rFont val="Arial"/>
      </rPr>
      <t xml:space="preserve">SamsungFood
</t>
    </r>
    <r>
      <rPr>
        <sz val="10"/>
        <color rgb="FF000000"/>
        <rFont val="Arial"/>
        <scheme val="minor"/>
      </rPr>
      <t xml:space="preserve">
</t>
    </r>
  </si>
  <si>
    <t>Wong Guan Min</t>
  </si>
  <si>
    <t>In social settings, individuals often enjoy drinking cocktails, yet those who prefer non-alcoholic options can feel excluded from the experience. Many people with a variety of alcohol and mixers at home may struggle to create interesting drinks that cater to all preferences. This lack of inclusivity can limit the enjoyment of gatherings, as non-drinkers may miss out on the fun and creativity involved in crafting and sharing unique beverages. There is a need for a solution that not only celebrates cocktail culture but also embraces and encourages the creativity of mocktails, ensuring that everyone can participate and enjoy flavorful drink options together.</t>
  </si>
  <si>
    <t xml:space="preserve">The proposed app will offer users personalized cocktail and mocktail recipes based on the ingredients they have available, creating an inclusive space for both drinkers and non-drinkers. By generating corresponding mocktail options for every cocktail recipe, the app will empower users to explore a diverse range of flavors and ingredients while ensuring that non-alcoholic options are always available. This approach not only fosters creativity in drink-making but also enhances social interactions, allowing all users to partake in the experience and enjoy vibrant gatherings together.
</t>
  </si>
  <si>
    <r>
      <rPr>
        <b/>
        <sz val="10"/>
        <rFont val="Arial"/>
      </rPr>
      <t>What's good:</t>
    </r>
    <r>
      <rPr>
        <sz val="10"/>
        <color rgb="FF000000"/>
        <rFont val="Arial"/>
        <scheme val="minor"/>
      </rPr>
      <t xml:space="preserve">
✓ </t>
    </r>
    <r>
      <rPr>
        <b/>
        <sz val="10"/>
        <rFont val="Arial"/>
      </rPr>
      <t>Target users</t>
    </r>
    <r>
      <rPr>
        <sz val="10"/>
        <color rgb="FF000000"/>
        <rFont val="Arial"/>
        <scheme val="minor"/>
      </rPr>
      <t xml:space="preserve"> clear (social drinkers and non-drinkers looking for inclusivity in beverage choices at gatherings)
✓ </t>
    </r>
    <r>
      <rPr>
        <b/>
        <sz val="10"/>
        <rFont val="Arial"/>
      </rPr>
      <t xml:space="preserve">Pain points </t>
    </r>
    <r>
      <rPr>
        <sz val="10"/>
        <color rgb="FF000000"/>
        <rFont val="Arial"/>
        <scheme val="minor"/>
      </rPr>
      <t xml:space="preserve">clear (non-drinkers often feel excluded due to limited non-alcoholic options; hosts struggle to create interesting drinks for all preferences)
✓ </t>
    </r>
    <r>
      <rPr>
        <b/>
        <sz val="10"/>
        <rFont val="Arial"/>
      </rPr>
      <t>Clear Hypothesis of consequences</t>
    </r>
    <r>
      <rPr>
        <sz val="10"/>
        <color rgb="FF000000"/>
        <rFont val="Arial"/>
        <scheme val="minor"/>
      </rPr>
      <t xml:space="preserve"> (reduced enjoyment and inclusivity at gatherings; non-drinkers miss out on the social experience of crafting and sharing unique drinks)
</t>
    </r>
    <r>
      <rPr>
        <sz val="10"/>
        <color rgb="FFA64D79"/>
        <rFont val="Arial"/>
      </rPr>
      <t>sidenote: clarity of hypothesis ≠ it is the right problem to solve. It just means you have a clear hypothesis to test (:</t>
    </r>
    <r>
      <rPr>
        <sz val="10"/>
        <color rgb="FF000000"/>
        <rFont val="Arial"/>
        <scheme val="minor"/>
      </rPr>
      <t xml:space="preserve">
</t>
    </r>
    <r>
      <rPr>
        <b/>
        <sz val="10"/>
        <rFont val="Arial"/>
      </rPr>
      <t xml:space="preserve">Could be better:
Target users: </t>
    </r>
    <r>
      <rPr>
        <sz val="10"/>
        <color rgb="FFA64D79"/>
        <rFont val="Arial"/>
      </rPr>
      <t>Are the target users based in Singapore or elsewhere, and what is their age group?</t>
    </r>
    <r>
      <rPr>
        <b/>
        <sz val="10"/>
        <rFont val="Arial"/>
      </rPr>
      <t xml:space="preserve">
Depth: </t>
    </r>
    <r>
      <rPr>
        <sz val="10"/>
        <color rgb="FF000000"/>
        <rFont val="Arial"/>
        <scheme val="minor"/>
      </rPr>
      <t xml:space="preserve">Could be enhanced with examples of scenarios where non-drinkers feel left out or where hosts find it challenging to cater to diverse preferences with their available ingredients.
</t>
    </r>
    <r>
      <rPr>
        <b/>
        <sz val="10"/>
        <rFont val="Arial"/>
      </rPr>
      <t>Concise:</t>
    </r>
    <r>
      <rPr>
        <sz val="10"/>
        <color rgb="FF000000"/>
        <rFont val="Arial"/>
        <scheme val="minor"/>
      </rPr>
      <t xml:space="preserve"> Slightly verbose; some repetition around inclusivity and creativity could be trimmed for a more direct impact.
--
</t>
    </r>
    <r>
      <rPr>
        <b/>
        <sz val="10"/>
        <rFont val="Arial"/>
      </rPr>
      <t xml:space="preserve">Problem Statement: </t>
    </r>
    <r>
      <rPr>
        <sz val="10"/>
        <color rgb="FF000000"/>
        <rFont val="Arial"/>
        <scheme val="minor"/>
      </rPr>
      <t xml:space="preserve">[Background context]
</t>
    </r>
    <r>
      <rPr>
        <b/>
        <sz val="10"/>
        <rFont val="Arial"/>
      </rPr>
      <t>This causes problem for:</t>
    </r>
    <r>
      <rPr>
        <sz val="10"/>
        <color rgb="FF000000"/>
        <rFont val="Arial"/>
        <scheme val="minor"/>
      </rPr>
      <t xml:space="preserve"> [user group]
</t>
    </r>
    <r>
      <rPr>
        <b/>
        <sz val="10"/>
        <rFont val="Arial"/>
      </rPr>
      <t>because:</t>
    </r>
    <r>
      <rPr>
        <sz val="10"/>
        <color rgb="FF000000"/>
        <rFont val="Arial"/>
        <scheme val="minor"/>
      </rPr>
      <t xml:space="preserve"> [how or why it affects the user]
</t>
    </r>
    <r>
      <rPr>
        <b/>
        <sz val="10"/>
        <rFont val="Arial"/>
      </rPr>
      <t xml:space="preserve">This is important </t>
    </r>
    <r>
      <rPr>
        <sz val="10"/>
        <color rgb="FF000000"/>
        <rFont val="Arial"/>
        <scheme val="minor"/>
      </rPr>
      <t xml:space="preserve">because: [impact of problem on the organisation]
</t>
    </r>
    <r>
      <rPr>
        <b/>
        <sz val="10"/>
        <color rgb="FF674EA7"/>
        <rFont val="Arial"/>
      </rPr>
      <t xml:space="preserve">An example below on how to improve problem statement in this format: </t>
    </r>
    <r>
      <rPr>
        <i/>
        <sz val="10"/>
        <rFont val="Arial"/>
      </rPr>
      <t>(Kindly refine problem statement in your own words)</t>
    </r>
    <r>
      <rPr>
        <sz val="10"/>
        <color rgb="FF674EA7"/>
        <rFont val="Arial"/>
      </rPr>
      <t xml:space="preserve">
</t>
    </r>
    <r>
      <rPr>
        <b/>
        <sz val="10"/>
        <rFont val="Arial"/>
      </rPr>
      <t xml:space="preserve">[Background context] </t>
    </r>
    <r>
      <rPr>
        <sz val="10"/>
        <color rgb="FF000000"/>
        <rFont val="Arial"/>
        <scheme val="minor"/>
      </rPr>
      <t xml:space="preserve">In social gatherings, individuals often enjoy cocktails, but non-drinkers can feel left out due to limited non-alcoholic options and lack of creativity with mocktails.
</t>
    </r>
    <r>
      <rPr>
        <b/>
        <sz val="10"/>
        <rFont val="Arial"/>
      </rPr>
      <t>This causes problem for:</t>
    </r>
    <r>
      <rPr>
        <sz val="10"/>
        <color rgb="FF000000"/>
        <rFont val="Arial"/>
        <scheme val="minor"/>
      </rPr>
      <t xml:space="preserve"> non-drinkers and hosts of gatherings
</t>
    </r>
    <r>
      <rPr>
        <b/>
        <sz val="10"/>
        <rFont val="Arial"/>
      </rPr>
      <t>because:</t>
    </r>
    <r>
      <rPr>
        <sz val="10"/>
        <color rgb="FF000000"/>
        <rFont val="Arial"/>
        <scheme val="minor"/>
      </rPr>
      <t xml:space="preserve"> non-drinkers miss out on the social experience of crafting and sharing unique drinks, and hosts may struggle to cater to diverse preferences with interesting beverage options.
</t>
    </r>
    <r>
      <rPr>
        <b/>
        <sz val="10"/>
        <rFont val="Arial"/>
      </rPr>
      <t xml:space="preserve">This is important because: </t>
    </r>
    <r>
      <rPr>
        <sz val="10"/>
        <color rgb="FF000000"/>
        <rFont val="Arial"/>
        <scheme val="minor"/>
      </rPr>
      <t xml:space="preserve">it can limit the inclusivity and enjoyment of social gatherings, affecting the overall atmosphere and experience for all participants.
--
</t>
    </r>
    <r>
      <rPr>
        <b/>
        <sz val="10"/>
        <rFont val="Arial"/>
      </rPr>
      <t xml:space="preserve">Competitor Analysis: 
</t>
    </r>
    <r>
      <rPr>
        <sz val="10"/>
        <color rgb="FFA64D79"/>
        <rFont val="Arial"/>
      </rPr>
      <t>For your proposed solution, there are existing apps that cater to cocktail and mocktail enthusiasts, each offering unique features. Here are some of them.</t>
    </r>
    <r>
      <rPr>
        <sz val="10"/>
        <color rgb="FF000000"/>
        <rFont val="Arial"/>
        <scheme val="minor"/>
      </rPr>
      <t xml:space="preserve">
</t>
    </r>
    <r>
      <rPr>
        <b/>
        <sz val="10"/>
        <rFont val="Arial"/>
      </rPr>
      <t>1. Cocktail Flow</t>
    </r>
    <r>
      <rPr>
        <sz val="10"/>
        <color rgb="FF000000"/>
        <rFont val="Arial"/>
        <scheme val="minor"/>
      </rPr>
      <t xml:space="preserve">
Provides a vast library of cocktail recipes with step-by-step instructions and allows users to input available ingredients to discover compatible drinks.
</t>
    </r>
    <r>
      <rPr>
        <u/>
        <sz val="10"/>
        <color rgb="FF1155CC"/>
        <rFont val="Arial"/>
      </rPr>
      <t>Website Link</t>
    </r>
    <r>
      <rPr>
        <sz val="10"/>
        <color rgb="FF000000"/>
        <rFont val="Arial"/>
        <scheme val="minor"/>
      </rPr>
      <t xml:space="preserve">
</t>
    </r>
    <r>
      <rPr>
        <b/>
        <sz val="10"/>
        <rFont val="Arial"/>
      </rPr>
      <t>2. Mixology™</t>
    </r>
    <r>
      <rPr>
        <sz val="10"/>
        <color rgb="FF000000"/>
        <rFont val="Arial"/>
        <scheme val="minor"/>
      </rPr>
      <t xml:space="preserve">
An extensive encyclopedia of drink recipes and bartender tips, enabling users to explore and create a wide range of beverages.
</t>
    </r>
    <r>
      <rPr>
        <u/>
        <sz val="10"/>
        <color rgb="FF1155CC"/>
        <rFont val="Arial"/>
      </rPr>
      <t>Website Link</t>
    </r>
    <r>
      <rPr>
        <sz val="10"/>
        <color rgb="FF000000"/>
        <rFont val="Arial"/>
        <scheme val="minor"/>
      </rPr>
      <t xml:space="preserve">
</t>
    </r>
    <r>
      <rPr>
        <b/>
        <sz val="10"/>
        <rFont val="Arial"/>
      </rPr>
      <t>3. Mixel</t>
    </r>
    <r>
      <rPr>
        <sz val="10"/>
        <color rgb="FF000000"/>
        <rFont val="Arial"/>
        <scheme val="minor"/>
      </rPr>
      <t xml:space="preserve">
Offers a curated library of over 2,600 cocktail recipes, allowing users to filter and share recipes based on the ingredients they have.
</t>
    </r>
    <r>
      <rPr>
        <u/>
        <sz val="10"/>
        <color rgb="FF1155CC"/>
        <rFont val="Arial"/>
      </rPr>
      <t>Website Link</t>
    </r>
    <r>
      <rPr>
        <sz val="10"/>
        <color rgb="FF000000"/>
        <rFont val="Arial"/>
        <scheme val="minor"/>
      </rPr>
      <t xml:space="preserve">
</t>
    </r>
    <r>
      <rPr>
        <b/>
        <sz val="10"/>
        <rFont val="Arial"/>
      </rPr>
      <t>4. Mocktail Maker</t>
    </r>
    <r>
      <rPr>
        <sz val="10"/>
        <color rgb="FF000000"/>
        <rFont val="Arial"/>
        <scheme val="minor"/>
      </rPr>
      <t xml:space="preserve">
Focuses exclusively on non-alcoholic beverages, featuring a collection of simple and elegant mocktail recipes.
</t>
    </r>
    <r>
      <rPr>
        <u/>
        <sz val="10"/>
        <color rgb="FF1155CC"/>
        <rFont val="Arial"/>
      </rPr>
      <t>Google Play Store Link</t>
    </r>
    <r>
      <rPr>
        <sz val="10"/>
        <color rgb="FF000000"/>
        <rFont val="Arial"/>
        <scheme val="minor"/>
      </rPr>
      <t xml:space="preserve">
</t>
    </r>
    <r>
      <rPr>
        <b/>
        <sz val="10"/>
        <rFont val="Arial"/>
      </rPr>
      <t>5. Simply Mocktails</t>
    </r>
    <r>
      <rPr>
        <sz val="10"/>
        <color rgb="FF000000"/>
        <rFont val="Arial"/>
        <scheme val="minor"/>
      </rPr>
      <t xml:space="preserve">
Provides a collection of cocktail-inspired recipes without alcohol, searchable by drink category, base ingredients, flavor profile, and season.
</t>
    </r>
    <r>
      <rPr>
        <u/>
        <sz val="10"/>
        <color rgb="FF1155CC"/>
        <rFont val="Arial"/>
      </rPr>
      <t xml:space="preserve">App Store Link
</t>
    </r>
    <r>
      <rPr>
        <sz val="10"/>
        <color rgb="FF000000"/>
        <rFont val="Arial"/>
        <scheme val="minor"/>
      </rPr>
      <t xml:space="preserve">--
</t>
    </r>
    <r>
      <rPr>
        <b/>
        <sz val="10"/>
        <color rgb="FFA64D79"/>
        <rFont val="Arial"/>
      </rPr>
      <t>Might need to consider reworking proposed solution:</t>
    </r>
    <r>
      <rPr>
        <b/>
        <sz val="10"/>
        <color rgb="FF674EA7"/>
        <rFont val="Arial"/>
      </rPr>
      <t xml:space="preserve">
There are existing solutions that already provide some of the functionality of your proposed solution.</t>
    </r>
    <r>
      <rPr>
        <sz val="10"/>
        <color rgb="FF000000"/>
        <rFont val="Arial"/>
        <scheme val="minor"/>
      </rPr>
      <t xml:space="preserve">
Example: While these apps offer a variety of cocktail and mocktail recipes,</t>
    </r>
    <r>
      <rPr>
        <b/>
        <sz val="10"/>
        <rFont val="Arial"/>
      </rPr>
      <t xml:space="preserve"> there is a notable gap in providing personalised, ingredient-based recommendations that seamlessly integrate both alcoholic and non-alcoholic options.</t>
    </r>
    <r>
      <rPr>
        <sz val="10"/>
        <color rgb="FF000000"/>
        <rFont val="Arial"/>
        <scheme val="minor"/>
      </rPr>
      <t xml:space="preserve"> None of these apps generate corresponding mocktail variations for every cocktail recipe, which would allow both drinkers and non-drinkers to enjoy similar flavors in a social setting.
An app that offers personalised cocktail and mocktail recipes based on the ingredients available, while ensuring mocktail options are always accessible, would address this gap. This approach would foster inclusivity and creativity in social settings, ensuring that all participants can enjoy the experience of crafting and sharing unique beverages, regardless of their preference for alcohol.</t>
    </r>
  </si>
  <si>
    <t>Yip Sze Kay</t>
  </si>
  <si>
    <t>People who do casual, ad-hoc recommendations (e.g. “weekly roundup of art exhibitions,” “fave music drops this week,” “my top 3 cafes in SG”) need to manually compile and share recommendation lists, switching between multiple apps and copy-pasting previously-used templates or lists. This results in additional time spent and inconvenience to users because there is no quick and convenient way to make and share recommendation lists.</t>
  </si>
  <si>
    <t>This web app is a one-stop place to make and share casual recommendations. Users can quickly make lists with convenient templates and external links, then share or download their lists. It targets people who are passionate about testing/reviewing/critiquing things and sharing that passion with loved ones.</t>
  </si>
  <si>
    <r>
      <t xml:space="preserve">The problem statement is clear in specifying the target users, pain points, and consequences, and it provides an appropriate depth that captures the problem in a concise yet insightful manner.
</t>
    </r>
    <r>
      <rPr>
        <b/>
        <sz val="10"/>
        <color rgb="FF674EA7"/>
        <rFont val="Arial"/>
      </rPr>
      <t>An example below on how to improve problem statement in this format:</t>
    </r>
    <r>
      <rPr>
        <b/>
        <i/>
        <sz val="10"/>
        <color rgb="FF674EA7"/>
        <rFont val="Arial"/>
      </rPr>
      <t xml:space="preserve"> </t>
    </r>
    <r>
      <rPr>
        <b/>
        <i/>
        <sz val="10"/>
        <rFont val="Arial"/>
      </rPr>
      <t>(</t>
    </r>
    <r>
      <rPr>
        <i/>
        <sz val="10"/>
        <rFont val="Arial"/>
      </rPr>
      <t>Feel free to refine problem statement in your own words)</t>
    </r>
    <r>
      <rPr>
        <sz val="10"/>
        <color rgb="FF000000"/>
        <rFont val="Arial"/>
        <scheme val="minor"/>
      </rPr>
      <t xml:space="preserve">
</t>
    </r>
    <r>
      <rPr>
        <b/>
        <sz val="10"/>
        <rFont val="Arial"/>
      </rPr>
      <t xml:space="preserve">[Background context] </t>
    </r>
    <r>
      <rPr>
        <sz val="10"/>
        <color rgb="FF000000"/>
        <rFont val="Arial"/>
        <scheme val="minor"/>
      </rPr>
      <t xml:space="preserve">People who do casual, ad-hoc recommendations (e.g., “weekly roundup of art exhibitions,” “fave music drops this week,” “my top 3 cafes in SG”) need to manually compile and share recommendation lists, often switching between multiple apps and copy-pasting previously-used templates or lists.
</t>
    </r>
    <r>
      <rPr>
        <b/>
        <sz val="10"/>
        <rFont val="Arial"/>
      </rPr>
      <t xml:space="preserve">This causes problem for: </t>
    </r>
    <r>
      <rPr>
        <sz val="10"/>
        <color rgb="FF000000"/>
        <rFont val="Arial"/>
        <scheme val="minor"/>
      </rPr>
      <t xml:space="preserve">users who frequently create and share recommendation lists.
</t>
    </r>
    <r>
      <rPr>
        <b/>
        <sz val="10"/>
        <rFont val="Arial"/>
      </rPr>
      <t>because:</t>
    </r>
    <r>
      <rPr>
        <sz val="10"/>
        <color rgb="FF000000"/>
        <rFont val="Arial"/>
        <scheme val="minor"/>
      </rPr>
      <t xml:space="preserve"> they spend additional time and face inconvenience due to the lack of a quick and convenient way to make and share these lists.
</t>
    </r>
    <r>
      <rPr>
        <b/>
        <sz val="10"/>
        <rFont val="Arial"/>
      </rPr>
      <t xml:space="preserve">This is important because: </t>
    </r>
    <r>
      <rPr>
        <sz val="10"/>
        <color rgb="FF000000"/>
        <rFont val="Arial"/>
        <scheme val="minor"/>
      </rPr>
      <t xml:space="preserve">it discourages users from sharing recommendations as frequently and adds unnecessary friction to the process.
--
</t>
    </r>
    <r>
      <rPr>
        <b/>
        <sz val="10"/>
        <color rgb="FFA64D79"/>
        <rFont val="Arial"/>
      </rPr>
      <t>Might need to consider reworking proposed solution:</t>
    </r>
    <r>
      <rPr>
        <sz val="10"/>
        <color rgb="FF000000"/>
        <rFont val="Arial"/>
        <scheme val="minor"/>
      </rPr>
      <t xml:space="preserve">
</t>
    </r>
    <r>
      <rPr>
        <b/>
        <sz val="10"/>
        <color rgb="FF674EA7"/>
        <rFont val="Arial"/>
      </rPr>
      <t xml:space="preserve">There are existing solutions that already provide </t>
    </r>
    <r>
      <rPr>
        <b/>
        <u/>
        <sz val="10"/>
        <color rgb="FF674EA7"/>
        <rFont val="Arial"/>
      </rPr>
      <t xml:space="preserve">some </t>
    </r>
    <r>
      <rPr>
        <b/>
        <sz val="10"/>
        <color rgb="FF674EA7"/>
        <rFont val="Arial"/>
      </rPr>
      <t xml:space="preserve">of the functionality of your proposed solution.
</t>
    </r>
    <r>
      <rPr>
        <b/>
        <sz val="10"/>
        <rFont val="Arial"/>
      </rPr>
      <t>- Listy:</t>
    </r>
    <r>
      <rPr>
        <sz val="10"/>
        <color rgb="FF000000"/>
        <rFont val="Arial"/>
        <scheme val="minor"/>
      </rPr>
      <t xml:space="preserve"> A free app that allows users to create and share visual lists of their favorite things, such as books, movies, or restaurants. It simplifies the process of compiling recommendations by automatically including related images and enabling easy sharing with friends.
</t>
    </r>
    <r>
      <rPr>
        <u/>
        <sz val="10"/>
        <color rgb="FF1155CC"/>
        <rFont val="Arial"/>
      </rPr>
      <t xml:space="preserve">Website link
</t>
    </r>
    <r>
      <rPr>
        <b/>
        <sz val="10"/>
        <rFont val="Arial"/>
      </rPr>
      <t>- Google Maps Lists &amp; Food Pins</t>
    </r>
    <r>
      <rPr>
        <sz val="10"/>
        <color rgb="FF000000"/>
        <rFont val="Arial"/>
        <scheme val="minor"/>
      </rPr>
      <t xml:space="preserve">
Users can save locations (e.g., restaurants, attractions) directly on Google Maps and create custom lists with pins for easy sharing. It's widely used for food and travel recommendations but lacks customization for non-location-based recommendations.
</t>
    </r>
    <r>
      <rPr>
        <b/>
        <sz val="10"/>
        <rFont val="Arial"/>
      </rPr>
      <t>- Excel/Google Sheets</t>
    </r>
    <r>
      <rPr>
        <sz val="10"/>
        <color rgb="FF000000"/>
        <rFont val="Arial"/>
        <scheme val="minor"/>
      </rPr>
      <t xml:space="preserve">
Many users rely on spreadsheets to compile and organize recommendation lists, adding details like ratings, comments, and links. It’s highly customizable but lacks convenience for quick sharing and an engaging visual format.
</t>
    </r>
    <r>
      <rPr>
        <b/>
        <sz val="10"/>
        <rFont val="Arial"/>
      </rPr>
      <t>- Lemon8</t>
    </r>
    <r>
      <rPr>
        <sz val="10"/>
        <color rgb="FF000000"/>
        <rFont val="Arial"/>
        <scheme val="minor"/>
      </rPr>
      <t xml:space="preserve">
Lemon8 is a social media platform where users can share visual recommendations on food, travel, lifestyle, and more. It’s visually engaging and supports content sharing but is less structured for list creation or easy exporting.
</t>
    </r>
    <r>
      <rPr>
        <u/>
        <sz val="10"/>
        <color rgb="FF1155CC"/>
        <rFont val="Arial"/>
      </rPr>
      <t xml:space="preserve">App Link
</t>
    </r>
    <r>
      <rPr>
        <b/>
        <sz val="10"/>
        <rFont val="Arial"/>
      </rPr>
      <t>- Pinterest</t>
    </r>
    <r>
      <rPr>
        <sz val="10"/>
        <color rgb="FF000000"/>
        <rFont val="Arial"/>
        <scheme val="minor"/>
      </rPr>
      <t xml:space="preserve">
Users create boards to pin ideas, articles, and recommendations across topics. It’s highly visual and suitable for compiling diverse recommendations, but it’s not localized to Singapore-specific content.
</t>
    </r>
    <r>
      <rPr>
        <b/>
        <sz val="10"/>
        <rFont val="Arial"/>
      </rPr>
      <t>- Facebook and Instagram Stories/Highlights</t>
    </r>
    <r>
      <rPr>
        <sz val="10"/>
        <color rgb="FF000000"/>
        <rFont val="Arial"/>
        <scheme val="minor"/>
      </rPr>
      <t xml:space="preserve">
Many users share recommendations via Stories or Highlights, especially on Instagram. While easy to share, the recommendations aren’t structured, searchable, or long-lasting, making it harder to organize or revisit.
- </t>
    </r>
    <r>
      <rPr>
        <b/>
        <sz val="10"/>
        <rFont val="Arial"/>
      </rPr>
      <t xml:space="preserve">SG Weekend Telegram Channel: </t>
    </r>
    <r>
      <rPr>
        <sz val="10"/>
        <color rgb="FF000000"/>
        <rFont val="Arial"/>
        <scheme val="minor"/>
      </rPr>
      <t xml:space="preserve">Provides ideas and updates on events and activities happening over the weekend.
</t>
    </r>
    <r>
      <rPr>
        <u/>
        <sz val="10"/>
        <color rgb="FF1155CC"/>
        <rFont val="Arial"/>
      </rPr>
      <t xml:space="preserve">https://t.me/sgweekend
</t>
    </r>
    <r>
      <rPr>
        <sz val="10"/>
        <color rgb="FF000000"/>
        <rFont val="Arial"/>
        <scheme val="minor"/>
      </rPr>
      <t xml:space="preserve">- </t>
    </r>
    <r>
      <rPr>
        <b/>
        <sz val="10"/>
        <rFont val="Arial"/>
      </rPr>
      <t xml:space="preserve">Singapore Art and Gallery Guide:
</t>
    </r>
    <r>
      <rPr>
        <u/>
        <sz val="10"/>
        <color rgb="FF1155CC"/>
        <rFont val="Arial"/>
      </rPr>
      <t>https://sagg.info/</t>
    </r>
  </si>
  <si>
    <t>Mary Ng</t>
  </si>
  <si>
    <t>In Singapore, many household families are uncertain about which materials can be recycled, leading to confusion and improper disposal of waste at residential estates. This lack of knowledge contributes to an increase in non-recyclable items being placed in recycling bins, ultimately reducing the effectiveness of the country’s recycling efforts. Despite Singapore's strong emphasis on sustainability and waste reduction, the disconnect between household families’ understanding and actual recycling practices undermines these initiatives. To support Singapore's goal of becoming a zero-waste nation, it is crucial to enhance public awareness and provide clear, localized information about recyclable materials.</t>
  </si>
  <si>
    <t>A web app designed to address the recycling knowledge gap in Singapore could offer an Interactive Recycling Guide where users can input various materials (e.g., plastics, paper, metals) to receive immediate feedback on whether they are recyclable in Singapore. The web will also include educational resources such as articles, infographics on recycling practices, the importance of recycling, and a feedback mechanism for users to report issues with recycling bins or provide suggestions, creating a channel for continuous improvement and engagement with local authorities.
By combining these features, the web app aims to empower household families with the knowledge and tools they need to make informed recycling choices, ultimately supporting Singapore's sustainability goals.</t>
  </si>
  <si>
    <r>
      <rPr>
        <sz val="10"/>
        <rFont val="Arial"/>
      </rPr>
      <t xml:space="preserve">This problem statement generally meets the clarity and depth requirements but can be refined slightly for greater specificity and focus especially:
</t>
    </r>
    <r>
      <rPr>
        <b/>
        <sz val="10"/>
        <rFont val="Arial"/>
      </rPr>
      <t>What's good:</t>
    </r>
    <r>
      <rPr>
        <sz val="10"/>
        <rFont val="Arial"/>
      </rPr>
      <t xml:space="preserve">
✓ Pain points clear (uncertainty about which materials are recyclable, leading to confusion and improper disposal)
✓ Consequences clear (increase in non-recyclable items in recycling bins, reducing the effectiveness of recycling efforts)
✓ Problem depth is appropriate with strong context on Singapore’s sustainability goals and the disconnect between household understanding and recycling practices.
</t>
    </r>
    <r>
      <rPr>
        <b/>
        <sz val="10"/>
        <rFont val="Arial"/>
      </rPr>
      <t>Can be better:</t>
    </r>
    <r>
      <rPr>
        <sz val="10"/>
        <rFont val="Arial"/>
      </rPr>
      <t xml:space="preserve">
</t>
    </r>
    <r>
      <rPr>
        <b/>
        <sz val="10"/>
        <rFont val="Arial"/>
      </rPr>
      <t xml:space="preserve">Target users: </t>
    </r>
    <r>
      <rPr>
        <sz val="10"/>
        <rFont val="Arial"/>
      </rPr>
      <t xml:space="preserve">is it all residents in singapore or specifically adults, households or families?
</t>
    </r>
    <r>
      <rPr>
        <b/>
        <sz val="10"/>
        <rFont val="Arial"/>
      </rPr>
      <t xml:space="preserve">Depth: </t>
    </r>
    <r>
      <rPr>
        <sz val="10"/>
        <rFont val="Arial"/>
      </rPr>
      <t xml:space="preserve">Could be enhanced by providing specific examples of common items that are improperly recycled to illustrate the types of misunderstandings. This would add clarity on the nature of the knowledge gap.
</t>
    </r>
    <r>
      <rPr>
        <b/>
        <sz val="10"/>
        <rFont val="Arial"/>
      </rPr>
      <t xml:space="preserve">Concise: </t>
    </r>
    <r>
      <rPr>
        <sz val="10"/>
        <rFont val="Arial"/>
      </rPr>
      <t xml:space="preserve">A bit lengthy; could be streamlined by reducing phrases that reiterate Singapore’s sustainability focus, as it is mentioned multiple times.
--
</t>
    </r>
    <r>
      <rPr>
        <b/>
        <sz val="10"/>
        <color rgb="FF674EA7"/>
        <rFont val="Arial"/>
      </rPr>
      <t xml:space="preserve">An example below on how to improve problem statement in this format: </t>
    </r>
    <r>
      <rPr>
        <i/>
        <sz val="10"/>
        <rFont val="Arial"/>
      </rPr>
      <t>(Kindly refine problem statement in your own words)</t>
    </r>
    <r>
      <rPr>
        <sz val="10"/>
        <rFont val="Arial"/>
      </rPr>
      <t xml:space="preserve">
[Background context] In Singapore, </t>
    </r>
    <r>
      <rPr>
        <sz val="10"/>
        <color rgb="FF674EA7"/>
        <rFont val="Arial"/>
      </rPr>
      <t xml:space="preserve">many residents in Singapore </t>
    </r>
    <r>
      <rPr>
        <sz val="10"/>
        <rFont val="Arial"/>
      </rPr>
      <t xml:space="preserve">are unsure about which materials can be recycled, causing confusion and improper waste disposal in residential areas.
</t>
    </r>
    <r>
      <rPr>
        <b/>
        <sz val="10"/>
        <rFont val="Arial"/>
      </rPr>
      <t xml:space="preserve">This causes problem for: </t>
    </r>
    <r>
      <rPr>
        <sz val="10"/>
        <rFont val="Arial"/>
      </rPr>
      <t xml:space="preserve">household families in Singapore.
</t>
    </r>
    <r>
      <rPr>
        <b/>
        <sz val="10"/>
        <rFont val="Arial"/>
      </rPr>
      <t xml:space="preserve">because: </t>
    </r>
    <r>
      <rPr>
        <sz val="10"/>
        <rFont val="Arial"/>
      </rPr>
      <t xml:space="preserve">they lack clear guidance on recyclable materials, leading to non-recyclable items being placed in recycling bins and reducing the efficiency of recycling efforts.
</t>
    </r>
    <r>
      <rPr>
        <b/>
        <sz val="10"/>
        <rFont val="Arial"/>
      </rPr>
      <t>This is important because:</t>
    </r>
    <r>
      <rPr>
        <sz val="10"/>
        <rFont val="Arial"/>
      </rPr>
      <t xml:space="preserve"> it undermines Singapore's sustainability initiatives and hampers progress toward the nation’s goal of becoming zero-waste.
--
</t>
    </r>
    <r>
      <rPr>
        <b/>
        <sz val="10"/>
        <color rgb="FF674EA7"/>
        <rFont val="Arial"/>
      </rPr>
      <t>Here’s a useful research study on the challenges of driving sustainability in Singapore that could help guide your proposed solution:</t>
    </r>
    <r>
      <rPr>
        <sz val="10"/>
        <rFont val="Arial"/>
      </rPr>
      <t xml:space="preserve">
</t>
    </r>
    <r>
      <rPr>
        <b/>
        <sz val="10"/>
        <rFont val="Arial"/>
      </rPr>
      <t xml:space="preserve">Fostering Sustainability in Singapore by StudioDojo: </t>
    </r>
    <r>
      <rPr>
        <u/>
        <sz val="10"/>
        <color rgb="FF1155CC"/>
        <rFont val="Arial"/>
      </rPr>
      <t xml:space="preserve">https://www.studiodojo.com/wp-content/uploads/2023/11/Fostering-Sustainability-in-Singapore-Full-Report.pdf
</t>
    </r>
    <r>
      <rPr>
        <sz val="10"/>
        <rFont val="Arial"/>
      </rPr>
      <t xml:space="preserve">--
</t>
    </r>
    <r>
      <rPr>
        <b/>
        <sz val="10"/>
        <color rgb="FFA64D79"/>
        <rFont val="Arial"/>
      </rPr>
      <t>Might need to consider reworking proposed solution:</t>
    </r>
    <r>
      <rPr>
        <b/>
        <sz val="10"/>
        <rFont val="Arial"/>
      </rPr>
      <t xml:space="preserve">
</t>
    </r>
    <r>
      <rPr>
        <b/>
        <sz val="10"/>
        <color rgb="FF674EA7"/>
        <rFont val="Arial"/>
      </rPr>
      <t>There are existing solutions that already provide the functionality of your proposed solution.</t>
    </r>
    <r>
      <rPr>
        <b/>
        <sz val="10"/>
        <rFont val="Arial"/>
      </rPr>
      <t xml:space="preserve">
- Bloobin AI Chatbot: </t>
    </r>
    <r>
      <rPr>
        <sz val="10"/>
        <rFont val="Arial"/>
      </rPr>
      <t xml:space="preserve">Launched by the National Environment Agency (NEA), Bloobin is an AI-powered chatbot available on WhatsApp and Telegram. Users can describe or upload pictures of items to receive immediate feedback on their recyclability. </t>
    </r>
    <r>
      <rPr>
        <u/>
        <sz val="10"/>
        <color rgb="FF1155CC"/>
        <rFont val="Arial"/>
      </rPr>
      <t>Bloobin AI chatbot</t>
    </r>
    <r>
      <rPr>
        <sz val="10"/>
        <rFont val="Arial"/>
      </rPr>
      <t xml:space="preserve">, </t>
    </r>
    <r>
      <rPr>
        <u/>
        <sz val="10"/>
        <color rgb="FF1155CC"/>
        <rFont val="Arial"/>
      </rPr>
      <t xml:space="preserve">Recycling Search Engine </t>
    </r>
    <r>
      <rPr>
        <sz val="10"/>
        <rFont val="Arial"/>
      </rPr>
      <t xml:space="preserve">or </t>
    </r>
    <r>
      <rPr>
        <u/>
        <sz val="10"/>
        <color rgb="FF1155CC"/>
        <rFont val="Arial"/>
      </rPr>
      <t>Bloobin’s Recycling Guide</t>
    </r>
    <r>
      <rPr>
        <sz val="10"/>
        <rFont val="Arial"/>
      </rPr>
      <t xml:space="preserve">. 
- To report issues on recycling bins, there are existing channels e.g </t>
    </r>
    <r>
      <rPr>
        <u/>
        <sz val="10"/>
        <color rgb="FF1155CC"/>
        <rFont val="Arial"/>
      </rPr>
      <t>OneService Platform</t>
    </r>
    <r>
      <rPr>
        <sz val="10"/>
        <rFont val="Arial"/>
      </rPr>
      <t xml:space="preserve"> &amp; </t>
    </r>
    <r>
      <rPr>
        <u/>
        <sz val="10"/>
        <color rgb="FF1155CC"/>
        <rFont val="Arial"/>
      </rPr>
      <t>NEA's feedback from</t>
    </r>
  </si>
  <si>
    <t>Michelle Yeo</t>
  </si>
  <si>
    <r>
      <rPr>
        <sz val="10"/>
        <color theme="1"/>
        <rFont val="Arial"/>
      </rPr>
      <t xml:space="preserve">[Revised] There are many different types of team building activities for employees to participate in. However, when team welfare representatives/officers need to find and plan these activities for their divisions' team bonding day, they need to search across multiple sources online due to a lack of a centralised platform that consolidates activities based on factors/preferences (e.g. activity type, cost). This results in additional work and time spent by welfare reps/officers to search and manually consolidate the activities based on certain factors/preferences, which is inefficient and lowers productivity. 
</t>
    </r>
    <r>
      <rPr>
        <sz val="10"/>
        <color rgb="FF999999"/>
        <rFont val="Arial"/>
      </rPr>
      <t>[Prev] Employees/teams need to search across various sources online to find/sieve out team building activities. This results in additional work and time spent on searching and manually consolidating team building activities to pick and decide based on certain factors/preferences such as cost, activity type.</t>
    </r>
  </si>
  <si>
    <t xml:space="preserve">The web app aims to consolidate team building activities and generate activity options based on factors/preferences such as cost, activity type and estimated team size. </t>
  </si>
  <si>
    <r>
      <rPr>
        <sz val="10"/>
        <color theme="1"/>
        <rFont val="Arial"/>
      </rPr>
      <t xml:space="preserve">Problem statement is mostly clear but can be further refined for clarity and depth:
- Target users: 'Employees/teams' are a bit vague and can benefit to be more specific (e.g. HR team members? team leads?)
- Pain points: Would be helpful to clarity </t>
    </r>
    <r>
      <rPr>
        <b/>
        <sz val="10"/>
        <color theme="1"/>
        <rFont val="Arial"/>
      </rPr>
      <t>why</t>
    </r>
    <r>
      <rPr>
        <sz val="10"/>
        <color theme="1"/>
        <rFont val="Arial"/>
      </rPr>
      <t xml:space="preserve"> they are looking at multiple sources (e.g. lack of centralised platform?), and </t>
    </r>
    <r>
      <rPr>
        <b/>
        <sz val="10"/>
        <color theme="1"/>
        <rFont val="Arial"/>
      </rPr>
      <t>when</t>
    </r>
    <r>
      <rPr>
        <sz val="10"/>
        <color theme="1"/>
        <rFont val="Arial"/>
      </rPr>
      <t xml:space="preserve"> this process happens
- Consequences: Can explore going a bit deeper by explaining the </t>
    </r>
    <r>
      <rPr>
        <b/>
        <sz val="10"/>
        <color theme="1"/>
        <rFont val="Arial"/>
      </rPr>
      <t>impact</t>
    </r>
    <r>
      <rPr>
        <sz val="10"/>
        <color theme="1"/>
        <rFont val="Arial"/>
      </rPr>
      <t xml:space="preserve"> of additional work and time spent ie. lowered productivity
- Depth: good overview but consider drilling into the root causes and specific needs</t>
    </r>
  </si>
  <si>
    <t>Don Lim</t>
  </si>
  <si>
    <t>Many parents in Singapore face a recurring challenge every weekend when their children attend tuition classes. These parents often have hours of idle time and wish to utilise this time productively, whether by attending a course, finding a quiet workspace, or visiting a nearby cafe. However, there is no centralised platform that consolidates nearby options for courses, cafes, sports facilities, or quiet workspaces that align with their location and time constraints, creating a gap in efficiently managing their waiting hours.</t>
  </si>
  <si>
    <t xml:space="preserve">This web app will allow parents to:
 - Discover available courses that are eligible for SkillsFuture credits and align with their location.
 - Find nearby cafes, sports facilities, art and craft centres, and quiet places to work or relax.
 - Filter and sort results by proximity and activity type, helping parents to make the most of their free hours effectively.
</t>
  </si>
  <si>
    <t>This problem statement is clear, well-targeted, and provides appropriate depth with specific target users, pain points, and consequences.</t>
  </si>
  <si>
    <t>Clare Low</t>
  </si>
  <si>
    <t>Leaders across our organisation recognise the value of OD frameworks learned during leadership courses and see substantial potential in applying them to enhance organisational effectiveness and foster cohesive teams. However, they find it challenging to consolidate and remember all the frameworks they encounter, which makes practical application inconsistent and difficult to sustain. They currently rely on memory or personal notes to access OD frameworks, resulting in difficulties recalling and using the frameworks effectively when faced with real-time challenges.</t>
  </si>
  <si>
    <t>The OD frameworks web app aims to equip leaders with a centralized, accessible resource that will aid in consistently applying frameworks learned from their leadership courses. By providing quick access to relevant frameworks, the app supports leaders in integrating OD practices into daily routines, enhancing team alignment, communication, and organizational effectiveness.</t>
  </si>
  <si>
    <t>Clear and demonstrates an understanding of the target users, their pain points, and the consequences. But can be further refined for greater specificity and depth.
- Target users: can benefit from specifying the level of leadership (e.g. middle management, senior leaders) for better clarity
- Pain points: what are the exact aspects these leaders found challenging?
- Consequences: consider elaborating on how the difficulties impact not just individual leaders but also for their teams
- Depth: can explore these 'Whys' a bit more - 'Why do leaders struggle to consolidate and remember OD frameworks?", "Why is it difficult to manage multiple frameworks?", "Why is the absence of a centralised repository significant?"</t>
  </si>
  <si>
    <t>Chloe Yao</t>
  </si>
  <si>
    <t>In a fast-paced work environment, particularly project driven or high intensity roles, employees tend to experience a sense of underappreciation and disconnection. This is especially prevalent among team members in less visible roles, such as support staff, junior team members or 2ICs of certain projects. These individuals are integral to team success, yet their contributions—often smaller, day-to-day tasks that aren’t tied to obvious or immediate outcomes—can easily go unnoticed or unacknowledged. 
It has been said that humans pass along only one out of every 30 good thoughts we have about others. Setting aside time for feedback and gratitude can be challenging for several reasons: i) Prioritization of urgent tasks over time for feedback and appreciation, ii) A tendency to focus recognition on high-visibility achievements, often neglecting smaller or background roles, iii) A general lack of structured appreciation processes in fast-moving environments. 
Over time, such feelings of underappreciation and disconnection can affect individual and team performance, leading to decreased motivation, higher turnover, and weakened cohesion. When team members feel unseen, they may lose their enthusiasm, reduce the effort they invest, or struggle to align themselves with the team’s larger goals. Furthermore, a lack of acknowledgment fosters a “transactional” workplace atmosphere, rather than one built on mutual respect and encouragement.</t>
  </si>
  <si>
    <t>This web application seeks to build a habit of regular, sincere appreciation among users, strengthening relationships and boosting overall well-being. By making appreciation fun and accessible, it aims to increase feelings of positivity and connectedness among users, foster a culture of regular recognition in team or community settings and empower individuals to give and receive meaningful appreciation in a way that feels both personal and playful.</t>
  </si>
  <si>
    <t>Captured the essence of the problem however can be refined to improve clarity and depth. Consider:
- Target users: specifying the types of employees affected as the term 'people' is pretty broad. e.g. employees in fast-paced roles or 'team members with less visibility in projects'
- Pain points: to specify what kinds of actions or behaviours lead to feelings of 'under appreciated' or 'disconnected'
- Consequences: to specify how these feelings may impact performance or team cohesion
- Depth: to expand on these 'Whys' to show the root cause and deepen the problem's context - 'Why do people feel under-appreciated?', 'Why are smaller contributions overlooked?', 'Why don't people make time for acknowledgement?'</t>
  </si>
  <si>
    <t>Kelly Ng</t>
  </si>
  <si>
    <t>Local shopaholics tend to buy clothes from many different shops. They find it difficult to keep track of the pieces that they buy, as (1) order history is localised to each individual shop's website, (2) email receipts tend to get lost, and (3) many also tend to be hoarders/have messy closets, which makes it difficult for them to stock take in real life.
This results in overconsumption (environmental effect + no space to keep new stuff + money disappear…) as they are unable to keep track of whether they have a similar piece of clothing already, and end up buying more clothes whenever they see something they like.</t>
  </si>
  <si>
    <t>The weball will allow users to upload their receipts, and automatically create clothes items that they own. Users can then view all their clothes, and edit listings manually if required.
- Create account/login
- User uploads receipt (pdf with images)
- Use OCR tool to scrape clothing information + image and add to user's wardrobe
- CRUD clothing items in wardrobe
- Sort/search functionality
🐸 lol I dunno if I can code this but we'll see. Maybe need to scope down to just blogshops as they have similar receipt formats.</t>
  </si>
  <si>
    <t>Yeo Soo BIn</t>
  </si>
  <si>
    <t>People interested in planning ahead for future needs of their country need to 
go through a lot of material to keep abreast of geopolitical, societal and technological trends globally admidst their already busy workload. 
This results in angst over workload and anxiety over missing out on processing key information because 
there is simply too much to scan and it is difficult to identify developments that merit further processing early.</t>
  </si>
  <si>
    <t>1) A web-app that automates the process of using a web-spyder to aggregate articles on ermerging tech, putting the articles into a RAG Gen-AI engine to produce a weekly summary. 
2) Bonus points for converting the summary into a pod-cast and sending it to smart devices or mobile phones.</t>
  </si>
  <si>
    <t xml:space="preserve">Problem statement addresses the 5Ws, but could be refined for focus: 
- Target users: Is it possible to narrow down to a specific target user or use-case? 
- Pain points: There are 2 (info overload vs identifying relevant issues).
- Consequences: What might be the impact to their work because of these feelings of angst and anxiety? 
- Depth: Consider diving deeper. For example, why is it difficult for users to dentify these relevant trends? </t>
  </si>
  <si>
    <t>Edgar Ang</t>
  </si>
  <si>
    <t>Heavy Credit cards users need to manually keep track of their credit cards spending habits (spending pattern, spending amount, monthly budget etc) and rewards points every month. This results in users spending time and effort in repetitive tasks to sieve through multiple statements, record, reconcile, track and consolidate transactions across different banks because every bank has a different payment due dates, statement formatting and rewards systems</t>
  </si>
  <si>
    <r>
      <rPr>
        <sz val="10"/>
        <color theme="1"/>
        <rFont val="Arial"/>
      </rPr>
      <t>A webapp that can help to effectively consolidate and provide a 'one-stop view' standard formatting for credit card payment due date, transaction amount, merchant/item description</t>
    </r>
    <r>
      <rPr>
        <b/>
        <u/>
        <sz val="10"/>
        <color theme="1"/>
        <rFont val="Arial"/>
      </rPr>
      <t xml:space="preserve"> and/or </t>
    </r>
    <r>
      <rPr>
        <sz val="10"/>
        <color theme="1"/>
        <rFont val="Arial"/>
      </rPr>
      <t xml:space="preserve">reward points (optional) so that users can </t>
    </r>
    <r>
      <rPr>
        <strike/>
        <sz val="10"/>
        <color rgb="FF0000FF"/>
        <rFont val="Arial"/>
      </rPr>
      <t>easily manage multiple credit cards and gain insights into their spending habits.</t>
    </r>
    <r>
      <rPr>
        <sz val="10"/>
        <color theme="1"/>
        <rFont val="Arial"/>
      </rPr>
      <t xml:space="preserve"> have greater awareness of their monthly cashflow/increase savings by having accurate info in their spend patterns.</t>
    </r>
  </si>
  <si>
    <t xml:space="preserve">This problem statement is clear, detailed and well defined, but can be further refined in depth. Consider:
- Why is this inefficiency a problem? Might this contribute to redundant repetitive tasks that users have to spend valuable time on?
- Why does this matter? Perhaps effective tracking could maximise rewards across all credit cards?
</t>
  </si>
  <si>
    <t>Thong Hui Min</t>
  </si>
  <si>
    <t>[Revised]
Busy professionals in full-time employment often experience significant work pressures that leaves them with little mental energy for meal planning and preparation. As a result, many resort to pre-packaged foods and takeout options, which are frequently less healthy. This reliance on convenience foods over time can disrupt a balanced diet, leading to nutritional deficits and increasing the risk of long-term health issues as they age. For those who attempt to cook from scratch, the overwhelming number of online recipes can make it difficult to find quick, nutritious meal options that fit their schedules and skill levels. Ultimately, these factors contribute to unhealthy eating habits, resulting in unmet daily nutrition needs.</t>
  </si>
  <si>
    <t xml:space="preserve">[Revised]
With a meal planning web app, it can advise users on simple and healthy recipes for beginners, so that the busy professional do not need to search the internet and seive out such recipies on their own. To cater to each individual, users can input their dietary preferences or restrictions in the web app and a curated list of recipes will be given to them. </t>
  </si>
  <si>
    <t>This problem statement is a good starting point - but can consider these improvements:
- Target users: can afford to be a bit more specific for this ie. full-time office employees in high-pressure environments
- Pain points: what are the exact challenges they face in prioritising exercise?
- Consequences: expand on the implications of not exercising
- Depth: consider these 'Whys' for greater specificity and depth - "Why do office workers find it difficult to prioritise exercise?", "Why does a demanding workload impact exercise priorities?"</t>
  </si>
  <si>
    <t>Karen Quek</t>
  </si>
  <si>
    <t xml:space="preserve">Test developers need to manually select their test questions according to test specifications so as to randomise the test questions for a more secure, fair, and valid assessment experience. This not only result in additional work by the test developers which is time consuming, it can also be prone to human error, risks inconsistent patterns which can introduce bias, and it is difficult to scale especially for large or complex tests. </t>
  </si>
  <si>
    <t xml:space="preserve">A web app with a nice user interface can help to streamline test question selection and randomisation by allowing test developers to input specifications like number of competency, proficiency level, question type, and number of questions. With an automated algorithm, the app selects and randomises questions based on these criteria, reducing manual work and human error. This intuitive interface enables test developers to easily set parameters and generate unique tests, ensuring scalability, fairness, and security. This saves time, maintains test quality, and provides a more efficient solution for creating secure and valid assessments. </t>
  </si>
  <si>
    <t>Captured the main target users and some pain points but could benefit from further refinement in clarity and depth to fully convey the issues. Consider:
- Target users: specifying where these "Test Developers" are applying their tests for context. e.g. are they professionals in corporate environments?
- Pain points: breaking down specific manual tasks and steps involved in selecting and organising test questions
- Consequences: detailing specific consequences of inconsistency and bias, and why scalability is important
- Depth: expanding on these 'Whys' - 'Why do test developers manually select questions?', 'Why is manual selection needed to meet specifications?', 'Why does the lack of automation create issues?, 'Why does this limit scability?'</t>
  </si>
  <si>
    <t>Beatrice Sanders</t>
  </si>
  <si>
    <t>We are always meeting new people, whether in work or social settings. Icebreakers are a common way for new people to get to know each other, and when used well, they can be a catalyst for faster and stronger team formation. But it can be difficult to craft good ice-breaker questions on the spot, as it requires creativity and some science. Worse, bad ice-breaker questions can get a group off to a bad start, induce anxiety in those more introverted, or end up being a waste of time.</t>
  </si>
  <si>
    <t>This web-app aims to facilitate effective ice-breakers for getting to know new people in a group-setting. The app will provide ice-breaker questions curated to be easy-to-answer, and good for making introductions. Rather than aimed at getting people to know each other deeply, they are aimed at getting people comfortable and relaxed quickly. The questions can be tailored based on group size, age, theme, and level of depth. The target group is people who need to facilitate group conversations.</t>
  </si>
  <si>
    <t xml:space="preserve">Highlights a common pain point that is relatable, and consequences of counter-productive outcomes are clearly defined. 
Consider:
- Target users: Is there a specific group that might face this challenge regularly? In what setting do they face this? 
- Depth: Consider diving deeper. or example, why is it difficult to craft good questions? </t>
  </si>
  <si>
    <t xml:space="preserve">Ernest Tan </t>
  </si>
  <si>
    <t xml:space="preserve">NBA fantasy basketball players need to wait for published articles from analysts or crowd-sourced feedback before assessing whether to make changes to their teams (i.e. deciding on whether to add, drop, or not make any changes to players). However, these assessments are often not contextualised to their team’s needs and week-to-week matchups. This results in incomplete and time-consuming recommendations being made as players need to review and synthesise individual data points.
</t>
  </si>
  <si>
    <t xml:space="preserve">The web app will illustrate average statistics from NBA players for the season and ranked according to performance. Additional tabs may be added to include trending players, player comparisons and scheduling and offensive/defensive ratings can be added to give fantasy players an overview of individual players' perfomance and assess whether they wish to add the player to their team. </t>
  </si>
  <si>
    <t xml:space="preserve">Target user is focused. Statement also effectively defines the pain points and consequences with appropraite context. 
Consider: 
- Pain points: There might be 2 layers to the problem statement. What would be the focus? Is it the lack of personalisation? Or the reviewing and synthesising individual data points? 
- Consequences: What might be the impact of the time-consuming process? e.g. what happens if the recommendations are incomplete? </t>
  </si>
  <si>
    <t>Ivan Tan</t>
  </si>
  <si>
    <t xml:space="preserve">I struggle to produce a few options, and decide what/where to eat when I ask other people what they'd like to eat, and they say "don't know" or anything". This results in time wasted and frustration for me and others (often colleagues, friends and especially my partner), because I am indecisive, and often suffer from decision paralysis and decision fatigue, due to not knowing the options around me, or struggling to choose because there are too many options. </t>
  </si>
  <si>
    <t xml:space="preserve">The web app will generate a random food option nearby, with good reviews, drawn from Google Maps. There will be one button, and each input will generate just one option, to combat decision fatigue. </t>
  </si>
  <si>
    <t xml:space="preserve">Problem statement captures hypotheses of the pain point - too many options, not knowing the options. But could be benefit with improved clarity and depth.  
Consider: 
- When do target users face this? What is the setting? For example a casual work day lunch vs a date with your partner.
- Consequence: Consider explicitly stating how decision fatigue impacts the user and those around them  </t>
  </si>
  <si>
    <t>Lim Tze Min</t>
  </si>
  <si>
    <t>Business owners (Directors) in the public service need to build new digital products to meet the needs of the public.
They do not understand how good product design practices can help them to build better products
This results in wasted public money 
because products are commissioned even if they do not meet customer needs, or with inefficient design that did not solve upstream problems</t>
  </si>
  <si>
    <t>This web app gamifies case studies of actual previous product designs, aiming to give users simulated experiences of previous product design mistakes, and show how various components of the product design process could have avoided or mitigated those issues. The web app would act as a  companion to a short and high-level product design course targeted at the business decision maker level, and allow those business decision makers to experientally learn the principles of good product design without needing to commit 4 weeks of course time, and without locking in the solution space into a digital app</t>
  </si>
  <si>
    <t xml:space="preserve">Target user and consequences are clearly defined. 
Consider: 
- There might be multiple layers to the pain point. For example: Lack of understanding leading to not being able to set the team up to build better products? Lack of understanding leading to not being able evaluate if a product should continue or not? Deciding to go ahead with the product despite know they do not meet customer needs? 
- Depth: Why is there a lack of understanding among these users? </t>
  </si>
  <si>
    <t>Klara Wu</t>
  </si>
  <si>
    <t>Parents of preschool and primary school children face significant difficulty in choosing the right enrichment class for their child. With options such as Julia Gabriel English class versus Learning Lab English class for a 4-year-old, the overwhelming number of choices, varying costs, and lack of clear information about each program's unique selling points (USPs) make it challenging to make an informed decision. This often results in parents spending significant time and resources on research and trial classes—leading to confusion, decision fatigue, and stress over finding the best opportunity for their child. The absence of unbiased comparison tools further complicates the process.</t>
  </si>
  <si>
    <t xml:space="preserve">My web app aims to solve the problem parents face when choosing the right enrichment class for their children by offering a comprehensive comparison tool. This tool allows parents to compare different enrichment classes side-by-side, based on key factors like cost, unique selling points (USPs), location, schedule, and reviews. It will also include user-submitted reviews, enabling parents to access genuine feedback from other families who have experienced the classes firsthand. The comparison tool is designed to provide clear, unbiased information to help parents make informed decisions without spending excessive time on research or attending multiple trial classes. By streamlining the decision-making process, the app reduces confusion, decision fatigue, and stress, ultimately empowering parents to select the best enrichment opportunities for their child.
</t>
  </si>
  <si>
    <t>Clearly defined: 
- Target users 
- Hypotheses contributing to the pain point of decision making (i.e. number of choices, costs, lack of info)
- Consequence 
Could be better: 
Might be a little too granular in highlighting 'lack of comparison tools'.</t>
  </si>
  <si>
    <t>Adrian Tang</t>
  </si>
  <si>
    <t>Soccer fanatics would like to gather and watch the live game outside, as they dont want to watch alone or disturb their family members at home. When searching for places to watch the World Cup or Euros games in Singapore, there is no consolidated website to provide information and help in the decision making. Each location provider (PA, Mcdonalds, Safra, Harry's bar),etc) would provide the info in their own websites.</t>
  </si>
  <si>
    <t xml:space="preserve">The website would help to consolidate the list of Singapore locations which shows live screening of the World Cup and Euros games, including locations with free screening. Besides providing the location address, opening hours, game fixtures, pricing/cover charges and location capacity would be other information which would be listed to help soccer fans make nmore informed decisions. </t>
  </si>
  <si>
    <t>Consider to
Eleborate Consequence: What are the consequences of the problem? e.g. wife complain</t>
  </si>
  <si>
    <t>Chiang Jin Li</t>
  </si>
  <si>
    <t>People all want to lead a healthier and more purposeful lives. But we rarely stick to their new year resolutions or achieve the goals we set for ourselves because we do not develop a routine of small achievable tasks that help us make progress each day and regularly reflect where we are. This results in people feeling overwhelmed and experience great inertia to change, leading them to give up and fall back to status quo.</t>
  </si>
  <si>
    <t>The web app aims to help users to state their goal and habit clearly and assist them to simply track the completion of their habit and encouraging them to reflect on themselves.</t>
  </si>
  <si>
    <t>Clear hypothesis of the problem (i.e. lack of routine / small achievements), and consequences emphasise on emotional impact of the issue. 
Consider: 
- Refining target group to be more specific. Who are these people? Which use-case might we focus on? Health? Or other goals? 
- Exploring further if the pain point is that users do not know how to set effective goals? Or are they able to set them effectively, but do not adhere to them? Why?</t>
  </si>
  <si>
    <t>Chua Hong En</t>
  </si>
  <si>
    <t>ASC staff and potential collaborators need to manually check with ASC Academy staff through email or online messaging channels on the details of the Academy's upcoming programmes if they wish to know more about these programmes. This results in additional work for the staff to address these queries and additional time for the enquiring staff because queries need to be manually addressed</t>
  </si>
  <si>
    <t>The web app aims to provide information of the upcoming, past programmes and contact info of programme facilitators to interested participants and collaborators from Training ogranisations and Institutes of Higher Learning</t>
  </si>
  <si>
    <t xml:space="preserve">Captures the general target users and pain point.
Consider: 
- Target user: Which would be the focus? The staff addressing the queries? Staff making the enquiry? In this case, what type of information are they specificall looking for? 
These details might help to provide focus when solutioning. 
- Consequences: What is the downstream impact on the user?How does knowing / not knowing about these programmes affect their work?
- Pain point: Consider refining for focus - is it the multiple channels? The manual processing of queries? </t>
  </si>
  <si>
    <t>Lee Mian Jun</t>
  </si>
  <si>
    <t>Individuals with a low-risk tolerance often struggle to find clear guidance on maximizing financial growth through safe and strategic options, such as optimizing CPF contributions, leveraging tax reliefs, and exploring low-risk investment products. Due to a lack of accessible, tailored information, these individuals risk financial stagnation and may miss out on secure, incremental growth opportunities.</t>
  </si>
  <si>
    <t>This web app is designed to provide low-risk individuals with personalized financial strategies to maximize growth within their comfort zone. The app helps users optimize CPF contributions, identify available tax reliefs, and explore curated low-risk investment products suited to their risk profile.</t>
  </si>
  <si>
    <t xml:space="preserve">Captures a broad target user and hypothesised problems leading to the pain points. Clearly articulates missed opportunities as the consequence.
Consider: 
- Target users: Could be more specific on behaviours e.g. low-risk but highly motivated, vs low-risk and unmotivated
- Clarifying the link between 'low-risk tolerance' and 'lack of info' 
- Is the pain point lack of awareness of options? Lack of knowledge to assess options? </t>
  </si>
  <si>
    <t>Yvonne Pinches</t>
  </si>
  <si>
    <t>Members of the public are unsure where to donate storybooks and textbooks that are still in good condition. Conversely, they often lack information about where to find specific books for recreational or academic use. As a result, many books are wasted as people tend to dispose of then instead of utilising them effectively.</t>
  </si>
  <si>
    <t>This web app is meant to assist individuals from lower-income families who are interested in accessing storybooks and textbooks from nearby community clubs rather than purchasing them. Users can easily find local community clubs that offer the types of books they need. Additionally, the platform provides information for those wishing to donate gently used books, connecting them with locations where their donations will be appreciated.</t>
  </si>
  <si>
    <t>Problem statement is well defined Consider:
- Target Users can be more specific. eg "Book owners", "Underprivileged Students/Parents looking for free books"
Depth - Why are target audience unsure where to donate books</t>
  </si>
  <si>
    <t xml:space="preserve">Sim Han Qiang </t>
  </si>
  <si>
    <t>Stratospheric Aerosol Injection (SAI) offers a potential method to cool the Earth, yet critical uncertainties in environmental impact, feasibility, and ethics raise significant concerns. Addressing these risks is crucial for informed decision-making on SAI’s viability as a climate intervention.</t>
  </si>
  <si>
    <t xml:space="preserve">The web app aims to raise awareness among members of public by articulating the main benefits and concerns of geo engineering specifically stratospheric aerosol injection. </t>
  </si>
  <si>
    <t xml:space="preserve">Consider answering these questions when defining the problem statement: 
- Who are the target users? Is it the people behind SAI? Policy makers involving such methods? The general public? A specific group of advocates among the public who are interested in such methods? 
This will affect how the problem statement is framed, including:
- What is the challenge they are facing? 
- Why do these uncertainties and concerns exist?
- What will happen if this issue is not addressed? e.g. SAI cannot be used? Unhappiness and distrust among public? </t>
  </si>
  <si>
    <t>Ashley Yap</t>
  </si>
  <si>
    <t>With the rising cost of living, there is a need to relook at how Singapore can overcome the high cost of living with suitable initiatives. Aside from increasing productivity, encouraging more people to innovate and turn their ideas into reality is a possible way to serve the society and incentivses the inventors/entrepreneurs. For these first-time inventors and entrepreneurs, they may be unsure of how they can execute their ideas, seek seed funding as well as bringing their product to the market.</t>
  </si>
  <si>
    <t>The aim of this web app brings investors, and budding entrepreneurs and inventors into a single platform. The platform will serve two objectives: (i) Investors can evaluate and fund ideas from the inventors and entreprenuers; (ii) entreprenuers and inventors can list their proposals in this site to get funding, they can also indicate whether they require additional support (e.g. mentorship) from investors that choose to fund them.
By understanding the needs/gaps of the entrepreneurs as they will indicate additional support from their investor, it can help increase the overall chances of a successful product launch. It is also noted that while the inventor may have good technical and R&amp;D competencies, more often that not, they may not be well-versed in other areas (e.g. managing a business, negotiations, legal, etc.). We hope that the platform can tackle some of these challenges when starting a company.</t>
  </si>
  <si>
    <t xml:space="preserve">Clearly defined 
- Target users i.e. first-time investors / entrepreneurs 
- Context and problem: Unsure of how they can execute, seek funding, bringing product to market 
Consider
- Consequence: What is the impact if they are lack such knowledge? 
- Depth: While the statement provides ample context to the rise of this need, consider why these users are facing this challenge of not knowing such information? </t>
  </si>
  <si>
    <t>Xie Yongcong</t>
  </si>
  <si>
    <r>
      <rPr>
        <sz val="10"/>
        <color theme="1"/>
        <rFont val="Arial"/>
      </rPr>
      <t xml:space="preserve">Teachers need to stay updated on the latest digital tools to enhance productivity amidst their busy schedules and other higher work priorities, such as Teaching and Learning </t>
    </r>
    <r>
      <rPr>
        <sz val="10"/>
        <color rgb="FFB45F06"/>
        <rFont val="Arial"/>
      </rPr>
      <t xml:space="preserve">(T&amp;L) </t>
    </r>
    <r>
      <rPr>
        <sz val="10"/>
        <color theme="1"/>
        <rFont val="Arial"/>
      </rPr>
      <t xml:space="preserve">and holistic development of their students. </t>
    </r>
    <r>
      <rPr>
        <sz val="10"/>
        <color rgb="FFB45F06"/>
        <rFont val="Arial"/>
      </rPr>
      <t>However</t>
    </r>
    <r>
      <rPr>
        <sz val="10"/>
        <color theme="1"/>
        <rFont val="Arial"/>
      </rPr>
      <t xml:space="preserve">, this </t>
    </r>
    <r>
      <rPr>
        <sz val="10"/>
        <color rgb="FFB45F06"/>
        <rFont val="Arial"/>
      </rPr>
      <t>requires</t>
    </r>
    <r>
      <rPr>
        <sz val="10"/>
        <color theme="1"/>
        <rFont val="Arial"/>
      </rPr>
      <t xml:space="preserve"> additional time to research and understand these digital tools before selecting a suitable one for their needs</t>
    </r>
    <r>
      <rPr>
        <sz val="10"/>
        <color rgb="FFB45F06"/>
        <rFont val="Arial"/>
      </rPr>
      <t>, as there is no one-stop site introducing the different digital tools which teachers can refer to. This process takes away time that could be better spent on their core duties and higher work priorities.</t>
    </r>
  </si>
  <si>
    <t>My web app aka digital tool advisor will allow the teachers to quickly know which digital tool to use for their particular use case, without having to look through all the available digital tools and their functionalities. The time saved will enable teachers to do other value-adding work such as teaching and student-facing activities.</t>
  </si>
  <si>
    <t xml:space="preserve">Clearly defined 
- Target users i.e. teachers
- Need and challenge i.e. digital tools for productivity, vs lack of time to learn about them / make a decision 
Consider
- Consequence: What happens when more time is spent? What happens is a not-ideal tool is used? How does this impact teaching quality? 
- What else hampers decision making apart from time needed? Ease of understanding the tools? Awareness / availability of info? </t>
  </si>
  <si>
    <t>Dawn Tay</t>
  </si>
  <si>
    <t xml:space="preserve">Many govt agencies cater buffet for events but face challenges in estimating food quantities accurately, as there is no way of knowing how much each participant eat without getting his/her feedback. This leading to overcatering and food wastage. </t>
  </si>
  <si>
    <t>The app enables event participants to indicate their dietary preferences and portion sizes, making catering more precise thus reducing waste.</t>
  </si>
  <si>
    <t>Sean Teo</t>
  </si>
  <si>
    <t xml:space="preserve">Public Officers currently struggle to find suitable tech mentors due to the current process, which relies on manually reviewing a Word document, reaching out to mentors directly, and submitting confirmed pairing to HR. This approach is inefficient and cumbersome due to the large number of mentor profiles &amp; information to review, leading to a suboptimal user experience that hinders effective mentor-mentee matching.
</t>
  </si>
  <si>
    <t>The app aims to enhance the mentee’s mentor matching experience, enabling mentees to easily browse and find mentors that align with their specific needs and goals. Mentees can then reach out to their shortlisted mentors, before informing HR of their confirmed pairings.</t>
  </si>
  <si>
    <t xml:space="preserve">Clearly defines target users, highlights pain of current process.
Consider: 
- Consequence: How does this process affect mentoring outcomes? 
- Depth: What else could contribute to the suboptimal experience? You may want to think about what makes a good mentor-mentee match as a guide. </t>
  </si>
  <si>
    <t>Heather Humphries</t>
  </si>
  <si>
    <t>Singaporeans with diabetes or pre-diabetes face significant challenges in managing their sugar intake when dining out or getting snacks. The current process of finding suitable low-glycaemic index (GI) or low/no sugar options is time-consuming and inefficient, as it requires manual checks across multiple scattered information sources about F&amp;B outlets. This tedious research process results in individuals opting for familiar but potentially unhealthy meal choices for convenience, or opting not to dine out.</t>
  </si>
  <si>
    <t>This web app aims to provide appropriate customised* food recommendations in Singapore for users seeking low-GI/low/no-sugar meal and snack options. 
*Customised = by location, meal type, health need: low sugar, no sugar, low GI etc.</t>
  </si>
  <si>
    <t xml:space="preserve">Clearly defined: 
- Target users and context 
- Pain point of scattered info
- Consequence / impact of users falling back to familiarity / choosing not to dine out 
Consider: 
- Target users: When do they default to such behaviours? When searching on-the-go? When with others? Or are there challenges even when prepping ahead of time e.g. pre research etc? </t>
  </si>
  <si>
    <t>Kenneth Yeow</t>
  </si>
  <si>
    <t>Tourists typically have kaya toast, eggs and nanyang coffee/tea set when visiting Singapore, a popular local dining experience. They however struggle to order nanyang coffee/tea due to a lack of understanding of the various drink options at outlets like Ya Kun. This confusion stems from foreign drink names and lack of information of the recipe at the point of ordering, leading to potentially unsatisfactory experiences as tourists may not get the drink that suit their tastes.</t>
  </si>
  <si>
    <t>The web app will offer a simple and comprehensive guide to Nanyang coffee and tea to help tourists make informed choices and enjoy their beverage experiences in Singapore</t>
  </si>
  <si>
    <t xml:space="preserve">Clearly defined 
- Target users i.e. tourists 
- Problem statement: Struggle to order, with clear hypothesis due to lack of understanding 
- Consequence: Unsatisfactory experience 
Consider refining for focus and for depth: 
Why is there a lack of info? Lack of descriptions? Lack of help from service staff? Language barriers? </t>
  </si>
  <si>
    <t>Jocelyn Teo</t>
  </si>
  <si>
    <t>Working mothers (users/who) need ideas and recipes to prepare simple dinner meals for family (action/what). The meals would need to cater to children's likes &amp; allergies; and pre prepared so that children can warm up the meals themselves for dinner (context/when &amp; where).  This is because working mothers may not have time to cook dinner as they need to travel back from work.orking mothers would end up having to stick to limited options or tried and tested meals as they may not have time to explore other alternatives with their busy schedule. [impact/what] . the meals become boring for children, and they lose appetite and not eat well [problem/why]</t>
  </si>
  <si>
    <t xml:space="preserve">- meal planner + sources for simple receipes, recommend for children( likes, allergies). 
- allow family members and friends to add in receipes. 
-churn out shopping list for ingredients; best if can link to online shopping site; self order(?)
-tool - analyse-frequently used- favourites; least used - don't like.  voting by children, family members
</t>
  </si>
  <si>
    <r>
      <rPr>
        <sz val="10"/>
        <color theme="1"/>
        <rFont val="Arial"/>
      </rPr>
      <t xml:space="preserve">1. Target users:  working mothers, children, family 
2. Problem statement - have to decide if actual users is the Mum or the children.   
</t>
    </r>
    <r>
      <rPr>
        <b/>
        <sz val="10"/>
        <color theme="1"/>
        <rFont val="Arial"/>
      </rPr>
      <t xml:space="preserve">What's good:
</t>
    </r>
    <r>
      <rPr>
        <sz val="10"/>
        <color theme="1"/>
        <rFont val="Arial"/>
      </rPr>
      <t xml:space="preserve">✓ </t>
    </r>
    <r>
      <rPr>
        <b/>
        <sz val="10"/>
        <color theme="1"/>
        <rFont val="Arial"/>
      </rPr>
      <t xml:space="preserve">Target users </t>
    </r>
    <r>
      <rPr>
        <sz val="10"/>
        <color theme="1"/>
        <rFont val="Arial"/>
      </rPr>
      <t xml:space="preserve">clear (working mothers who need quick meal solutions for their children)
✓ </t>
    </r>
    <r>
      <rPr>
        <b/>
        <sz val="10"/>
        <color theme="1"/>
        <rFont val="Arial"/>
      </rPr>
      <t>Pain points</t>
    </r>
    <r>
      <rPr>
        <sz val="10"/>
        <color theme="1"/>
        <rFont val="Arial"/>
      </rPr>
      <t xml:space="preserve"> clear (limited time to cook after work, need for child-friendly recipes that cater to preferences and allergies, and meals that children can warm up themselves)
✓ </t>
    </r>
    <r>
      <rPr>
        <b/>
        <sz val="10"/>
        <color theme="1"/>
        <rFont val="Arial"/>
      </rPr>
      <t>Consequences</t>
    </r>
    <r>
      <rPr>
        <sz val="10"/>
        <color theme="1"/>
        <rFont val="Arial"/>
      </rPr>
      <t xml:space="preserve"> clear (reliance on limited, repetitive meal options; children become bored with meals, lose appetite, and may not eat well)
✓</t>
    </r>
    <r>
      <rPr>
        <b/>
        <sz val="10"/>
        <color theme="1"/>
        <rFont val="Arial"/>
      </rPr>
      <t xml:space="preserve"> Problem dept</t>
    </r>
    <r>
      <rPr>
        <sz val="10"/>
        <color theme="1"/>
        <rFont val="Arial"/>
      </rPr>
      <t xml:space="preserve">h is appropriate with context around busy schedules and the need for meals that meet both time constraints and dietary considerations for children.
</t>
    </r>
    <r>
      <rPr>
        <b/>
        <sz val="10"/>
        <color theme="1"/>
        <rFont val="Arial"/>
      </rPr>
      <t>Could do better:</t>
    </r>
    <r>
      <rPr>
        <sz val="10"/>
        <color theme="1"/>
        <rFont val="Arial"/>
      </rPr>
      <t xml:space="preserve">
</t>
    </r>
    <r>
      <rPr>
        <b/>
        <sz val="10"/>
        <color theme="1"/>
        <rFont val="Arial"/>
      </rPr>
      <t xml:space="preserve">- Depth: </t>
    </r>
    <r>
      <rPr>
        <sz val="10"/>
        <color theme="1"/>
        <rFont val="Arial"/>
      </rPr>
      <t xml:space="preserve">Could be enhanced by specifying common dietary restrictions or examples of child-friendly options that working mothers typically rely on, to illustrate the meal limitations more vividly.
- </t>
    </r>
    <r>
      <rPr>
        <b/>
        <sz val="10"/>
        <color theme="1"/>
        <rFont val="Arial"/>
      </rPr>
      <t xml:space="preserve">Concise: </t>
    </r>
    <r>
      <rPr>
        <sz val="10"/>
        <color theme="1"/>
        <rFont val="Arial"/>
      </rPr>
      <t xml:space="preserve">Slightly verbose, can be more direct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In Singapore, working mothers need easy, pre-prepared dinner ideas that cater to children’s preferences, allergies, and dietary needs, allowing kids to reheat meals themselves.
</t>
    </r>
    <r>
      <rPr>
        <b/>
        <sz val="10"/>
        <color theme="1"/>
        <rFont val="Arial"/>
      </rPr>
      <t xml:space="preserve">This causes problem for: </t>
    </r>
    <r>
      <rPr>
        <sz val="10"/>
        <color theme="1"/>
        <rFont val="Arial"/>
      </rPr>
      <t xml:space="preserve">time-pressed working mothers with limited meal options.
</t>
    </r>
    <r>
      <rPr>
        <b/>
        <sz val="10"/>
        <color theme="1"/>
        <rFont val="Arial"/>
      </rPr>
      <t>because:</t>
    </r>
    <r>
      <rPr>
        <sz val="10"/>
        <color theme="1"/>
        <rFont val="Arial"/>
      </rPr>
      <t xml:space="preserve"> they often don’t have time to cook after commuting from work and end up relying on limited, tried-and-tested recipes that fit their children’s dietary restrictions, such as halal, vegetarian, dairy-free, or nut-free meals. With their busy schedules, they lack the time to explore new options, limiting child-friendly meals that are simple, nutritious, allergy-safe, and appealing.
</t>
    </r>
    <r>
      <rPr>
        <b/>
        <sz val="10"/>
        <color theme="1"/>
        <rFont val="Arial"/>
      </rPr>
      <t>This is important because: i</t>
    </r>
    <r>
      <rPr>
        <sz val="10"/>
        <color theme="1"/>
        <rFont val="Arial"/>
      </rPr>
      <t>t leads to repetitive, boring meals, causing children to lose interest in eating well, which affects both their nutrition and meal enjoyment.</t>
    </r>
  </si>
  <si>
    <t>Wong Choon Bong</t>
  </si>
  <si>
    <t xml:space="preserve">Group buy organiser needs to manually manage orders that come in via a group chat after inviting participants for a new buying campaign. This results in manual efforts to manage the workflow because orders need to be taken, acknowledged and aggregated, and deliveries need to be notified to, arranged for collection with and paid for by the buyers. </t>
  </si>
  <si>
    <t>The web app will allow the organiser(s) to create a new group buy instance with a listing of up to 10 products and their price, and allow buyers to place order with their names and a unique identifier. A summary will be generated for all to view. When goods are delivered, payment and collection status will be updated by the organiser. The app is a simple order management tool and will not support payment and communication.</t>
  </si>
  <si>
    <t>Seema Gail Parkash</t>
  </si>
  <si>
    <t>People with Autism Spectrum Disorder (ASD) and others who are hypersensitive to sensory stimuli can find it challenging to dine in restaurants due to noises, smells, lights or crowds that often do not bother others. Information on restaurants that have a more soothing ambiance, e.g., quiet, well-ventilated, no overly bright lights, is not easily available. The prospect of meals with family, friends and/or colleagues in unfamiliar restaurants that may not be conducive to specific sensory needs can provoke severe anxiety or avoidance, adversely affecting the mental wellbeing and sociality of people with ASD.</t>
  </si>
  <si>
    <t>The web app will allow people with ASD and others who are hypersensitive to sensory stimuli, as well as people who plan to dine with them, to search for restaurants that meet specific sensory needs. Search filters will include noises, smells, lights, busy periods, price point, location, child-friendliness and dietary requirements (e.g. vegetarian, halal).</t>
  </si>
  <si>
    <t>Nur Syahidah Sahrom</t>
  </si>
  <si>
    <t>Parents with young children often find it difficult to find paediatric clinics which are open to bring their sick children to during the evenings and over the weekends. Different clinics have different opening days and hours which would require parents to do an open search and browse different websites to keep track of which clinics are open when their children are sick. This results in inconvenience and anxiety for parents who are already busy attending to their sick children. It would help if parents could go to a central resource that can refer them to which clinics are open at any particular date and time, organised by proximity to the parent. This can help parents seek prompt medical attention for their children’s illnesses and allow parents to better plan their days.</t>
  </si>
  <si>
    <t>The web app seeks to provide a central platform where parents can input information on when they intend to see a paediatrician and their location. The web app will then provide a list of paediatric clinics which are open at the selected date and time, in order of proximity to the parent. The platform will also contain links to the clinics’ websites for parents to find out more information about the services available in the clinic and other admin messages (e.g. days of doctors’ leave apart from the clinic’s usual operating hours).</t>
  </si>
  <si>
    <t>Angela Wu</t>
  </si>
  <si>
    <t>Attendees who attend a talk is afraid to ask live questions and want to submit questions anonymously using a website, during the talk, for the speaker or organiser to answer live or offline and replies are made available soon after the talk.</t>
  </si>
  <si>
    <t>It will allow anyone with a unique code to submit text questions and using the same link, to see offline answers to the questions that were not answered live.
When using the web app, it will ask for unique code and show number of questions submitted based on a time duration. After speaker/organiser answers questions live, they can select "answered live" button. If time runs out, speaker/organiser can type text answers to questions and once all questions are answered, speaker/organiser can select option to make answers available to anyone with the unique code using the web app, based on a time duration.</t>
  </si>
  <si>
    <t>Alan Tang</t>
  </si>
  <si>
    <t>Working parents are busy, and  infants/toddlers require constant attention and stimulation. It is impossible for parents to physically be with our kids all the time, and even when we are, we struggle to be constantly upbeat, informative, and informative after a long day. Exposure to language and stories has a dramatic effect on the cognitive development and life outcomes of children.  
This places parents in an impossible conundrum - how can parents focus on their work and personal pursuits, without neglecting crucial developmental hours for their children? The current alternatives available - ranging from childcare, helpers, and screens are all imperfect substitutes which are either expensive, non-bespoke, or face other drawbacks such as screen addiction.</t>
  </si>
  <si>
    <t xml:space="preserve">An AI 'talkbot' that leverages the latest text-to-speech capabilities that serves as a source of educational interaction for children. 
Using prompt engineering, parents will be able to customize the talkbot based on their children's developmental needs, allowing it to evolve and grow together with the child. 
The talkbot will be accessible via a simple web application interface, with the ability for users (parents) to customize based on different archtypes (e.g. acting as a guardian, tutor, or friend). 
Stretch goal: Talkbot will be integrated into a IoT hardware microcontroller (e.g. ESP32 or Arduino device) so that the child can interact with real-world objects (like a favourite soft toy). 
</t>
  </si>
  <si>
    <r>
      <rPr>
        <b/>
        <sz val="10"/>
        <color theme="1"/>
        <rFont val="Arial"/>
      </rPr>
      <t xml:space="preserve">Problem Statement
What's good:
</t>
    </r>
    <r>
      <rPr>
        <sz val="10"/>
        <color theme="1"/>
        <rFont val="Arial"/>
      </rPr>
      <t xml:space="preserve">✓ </t>
    </r>
    <r>
      <rPr>
        <b/>
        <sz val="10"/>
        <color theme="1"/>
        <rFont val="Arial"/>
      </rPr>
      <t>Target users</t>
    </r>
    <r>
      <rPr>
        <sz val="10"/>
        <color theme="1"/>
        <rFont val="Arial"/>
      </rPr>
      <t xml:space="preserve"> clear (working parents with infants or toddlers who need constant attention and stimulation)
</t>
    </r>
    <r>
      <rPr>
        <sz val="10"/>
        <color rgb="FFA64D79"/>
        <rFont val="Arial"/>
      </rPr>
      <t xml:space="preserve">Are target users based in Singapore? </t>
    </r>
    <r>
      <rPr>
        <sz val="10"/>
        <color theme="1"/>
        <rFont val="Arial"/>
      </rPr>
      <t xml:space="preserve">
✓</t>
    </r>
    <r>
      <rPr>
        <b/>
        <sz val="10"/>
        <color theme="1"/>
        <rFont val="Arial"/>
      </rPr>
      <t xml:space="preserve"> Pain points</t>
    </r>
    <r>
      <rPr>
        <sz val="10"/>
        <color theme="1"/>
        <rFont val="Arial"/>
      </rPr>
      <t xml:space="preserve"> clear (limited time and energy to engage children consistently, balancing work and personal time with children's developmental needs)
✓ </t>
    </r>
    <r>
      <rPr>
        <b/>
        <sz val="10"/>
        <color theme="1"/>
        <rFont val="Arial"/>
      </rPr>
      <t xml:space="preserve">Consequences </t>
    </r>
    <r>
      <rPr>
        <sz val="10"/>
        <color theme="1"/>
        <rFont val="Arial"/>
      </rPr>
      <t xml:space="preserve">clear (risk of missed cognitive developmental opportunities for children, reliance on imperfect alternatives like childcare, helpers, or screens)
✓ </t>
    </r>
    <r>
      <rPr>
        <b/>
        <sz val="10"/>
        <color theme="1"/>
        <rFont val="Arial"/>
      </rPr>
      <t>Problem depth is appropriate</t>
    </r>
    <r>
      <rPr>
        <sz val="10"/>
        <color theme="1"/>
        <rFont val="Arial"/>
      </rPr>
      <t xml:space="preserve"> with good context on the importance of language exposure and cognitive development, showing the long-term implications for children.
</t>
    </r>
    <r>
      <rPr>
        <b/>
        <sz val="10"/>
        <color theme="1"/>
        <rFont val="Arial"/>
      </rPr>
      <t xml:space="preserve">Can be better:
</t>
    </r>
    <r>
      <rPr>
        <sz val="10"/>
        <color theme="1"/>
        <rFont val="Arial"/>
      </rPr>
      <t xml:space="preserve">- </t>
    </r>
    <r>
      <rPr>
        <b/>
        <sz val="10"/>
        <color theme="1"/>
        <rFont val="Arial"/>
      </rPr>
      <t>Be more concise</t>
    </r>
    <r>
      <rPr>
        <sz val="10"/>
        <color theme="1"/>
        <rFont val="Arial"/>
      </rPr>
      <t xml:space="preserve"> by paraphrasing into problem statement format
</t>
    </r>
    <r>
      <rPr>
        <b/>
        <sz val="10"/>
        <color theme="1"/>
        <rFont val="Arial"/>
      </rPr>
      <t xml:space="preserve">[Background context] </t>
    </r>
    <r>
      <rPr>
        <sz val="10"/>
        <color theme="1"/>
        <rFont val="Arial"/>
      </rPr>
      <t xml:space="preserve">This causes problem for: [user group]
</t>
    </r>
    <r>
      <rPr>
        <b/>
        <sz val="10"/>
        <color theme="1"/>
        <rFont val="Arial"/>
      </rPr>
      <t>because:</t>
    </r>
    <r>
      <rPr>
        <sz val="10"/>
        <color theme="1"/>
        <rFont val="Arial"/>
      </rPr>
      <t xml:space="preserve"> [how or why it affects the user]
</t>
    </r>
    <r>
      <rPr>
        <b/>
        <sz val="10"/>
        <color theme="1"/>
        <rFont val="Arial"/>
      </rPr>
      <t xml:space="preserve">This is important because: </t>
    </r>
    <r>
      <rPr>
        <sz val="10"/>
        <color theme="1"/>
        <rFont val="Arial"/>
      </rPr>
      <t xml:space="preserve">[impact of problem]
--
</t>
    </r>
    <r>
      <rPr>
        <b/>
        <sz val="10"/>
        <color theme="1"/>
        <rFont val="Arial"/>
      </rPr>
      <t xml:space="preserve">Proposed solution:
</t>
    </r>
    <r>
      <rPr>
        <sz val="10"/>
        <color theme="1"/>
        <rFont val="Arial"/>
      </rPr>
      <t>- Language: Is it in English?</t>
    </r>
  </si>
  <si>
    <t>Soh Zhi Qi</t>
  </si>
  <si>
    <t>Parents of primary school students often find themselves manually reciting words off the students' spelling lists, to help test their children's familarity with the required words or phrases as part of the spelling preparation and revision process.
This is tedious and repetitive, as spelling tests take place almost weekly during the school term, and the process of reciting words to simulate the spelling tests often need to be repeated until the student has learnt all the required words or phrases. Moreover, the testing process requires both parents and their children to be around, with parents often having to repeat or wait between each word or phrase until the student has completed writing it out. This takes up precious family time which can be better spent on other more meaningful bonding activities.</t>
  </si>
  <si>
    <t>The web app will enable the process of testing spelling to be automated and carried out independently by primary school students, freeing up their parents from the chore of repetitive testing. 
It will have a simple UI and seamless flow making it easy for a primary school student to upload his or her spelling lists, before reading out the required spelling words or phrases at a pace comfortable for the student to practice writing out the required words or phrases. When needed, the student will be able to have the required words or phrases repeated, particularly for longer phrases which may challenging to remember and write out in one shot.</t>
  </si>
  <si>
    <t>Phua Yi Hui</t>
  </si>
  <si>
    <t>Public officers need to coordinate the meeting schedule, agenda and circulation of materials when they take on secretariat duties for a meeting platform. This results in toil work for the officers and takes time away from more productive work because the secretariat has to manually track timelines and input/replies from different parties (e.g. item owners, PAs) in order to ensure that the agenda and materials are collated, cleared and circulated in a timely manner before the meeting date.</t>
  </si>
  <si>
    <t>The web app will allow public officers to create automated alerts for meeting milestones (e.g. calling of agenda), collate inputs from item owners, and generate email templates for e.g  circulation of materials.</t>
  </si>
  <si>
    <t>Desmond Loo</t>
  </si>
  <si>
    <t xml:space="preserve">Public officers (in particular newly minted and even seasoned ones) do not have ready access to contextualised bite-sized self-help, motivation and coaching resources on surviving the government environment.
This results in missed opportunities to develop one’s potential and poor employee engagement because officers may become unmotivated from the drudgery of navigating the system.
</t>
  </si>
  <si>
    <t xml:space="preserve">"Daily Roti for the Govman" offers simple to follow practical advice and resources to help officers (1) understand the workings of government and (2) self-improve and become more effective staffers.
</t>
  </si>
  <si>
    <t>Andy Choi</t>
  </si>
  <si>
    <t>Meeting rooms in offices are always booked up completely, weeks ahead of time. It is almost impossible to find a room at the last minute, and not practical to keep watching out for available rooms days ahead of the meeting.</t>
  </si>
  <si>
    <t>How might users know, and get an opportunity, to book meeting rooms that are truly available (e.g. were kiasu booked, or were released a short time before the meeting) such that meeting rooms are better utilised in offices?</t>
  </si>
  <si>
    <t xml:space="preserve">  </t>
  </si>
  <si>
    <r>
      <rPr>
        <sz val="10"/>
        <color theme="1"/>
        <rFont val="Arial"/>
      </rPr>
      <t xml:space="preserve">Problem statement is generally clear, depth is appropriate.
what's good: clear user and pain-point, clear hypothesis of consequence (hard to find new routes = less motivation).
</t>
    </r>
    <r>
      <rPr>
        <i/>
        <sz val="10"/>
        <color theme="1"/>
        <rFont val="Arial"/>
      </rPr>
      <t xml:space="preserve">sidenote: clarity of hypothesis ≠ it is the right problem to solve. it just means you have a clear hypothesis to test :)
</t>
    </r>
  </si>
  <si>
    <r>
      <rPr>
        <sz val="10"/>
        <color theme="1"/>
        <rFont val="Arial"/>
      </rPr>
      <t xml:space="preserve">Singapore Sign Language (SgSL) is an essential skill for communicating with the Deaf community in Singapore, which unlike traditional languages, suffers from a lack of translation tools for new-learners.
</t>
    </r>
    <r>
      <rPr>
        <u/>
        <sz val="10"/>
        <color theme="1"/>
        <rFont val="Arial"/>
      </rPr>
      <t>People who wish to learn SgSL online</t>
    </r>
    <r>
      <rPr>
        <sz val="10"/>
        <color theme="1"/>
        <rFont val="Arial"/>
      </rPr>
      <t xml:space="preserve">, either for personal, educational, or professional reasons often find it very challanging to find resources online that are quick and easy to learn from, given SgSL resources are predominantly offline or tends to focus on archiving signs rather than making it easy to learn from. Resources seem mostly focused on helping experienced learners improve.
The lack of convenient, accessible, and intuitive centralized tools to learn SgSL makes it difficult for learners, especially those who are just getting started, which hurts the adoption rate of SgSL, even for the most willing learners. This creates artifical barriers to communicating with the Deaf community, hurting their overall wellbeing. </t>
    </r>
  </si>
  <si>
    <r>
      <t xml:space="preserve">Problem statement is clear and provides a good level of detail with a well-defined target group, clear pain points, and consequences of inaction. It effectively scopes the problem without being too abstract or granular.
</t>
    </r>
    <r>
      <rPr>
        <b/>
        <sz val="10"/>
        <rFont val="Arial"/>
      </rPr>
      <t xml:space="preserve">What's good:
</t>
    </r>
    <r>
      <rPr>
        <sz val="10"/>
        <color rgb="FF000000"/>
        <rFont val="Arial"/>
        <scheme val="minor"/>
      </rPr>
      <t xml:space="preserve">✓ Target users clear (individuals and families who experience challenges with meal planning due to busy schedules and dietary restrictions)
✓ Pain points clear (decision fatigue from too many online recipes, difficulty finding suitable recipes, and the challenges of catering to dietary needs)
✓ Consequences clear (food waste, unnecessary grocery spending, and increased reliance on unhealthy or takeout options)
✓ Problem depth is appropriate with context around common issues like busy schedules, dietary restrictions, and the overwhelming choice of recipes online, which all contribute to ineffective meal planning.
</t>
    </r>
    <r>
      <rPr>
        <b/>
        <sz val="10"/>
        <rFont val="Arial"/>
      </rPr>
      <t xml:space="preserve">Can be improved:
</t>
    </r>
    <r>
      <rPr>
        <b/>
        <sz val="10"/>
        <color rgb="FFA64D79"/>
        <rFont val="Arial"/>
      </rPr>
      <t xml:space="preserve">Target users: </t>
    </r>
    <r>
      <rPr>
        <sz val="10"/>
        <color rgb="FFA64D79"/>
        <rFont val="Arial"/>
      </rPr>
      <t>Based in Singapore, target age range, dietary. needs?</t>
    </r>
    <r>
      <rPr>
        <b/>
        <sz val="10"/>
        <rFont val="Arial"/>
      </rPr>
      <t xml:space="preserve">
Depth: </t>
    </r>
    <r>
      <rPr>
        <sz val="10"/>
        <color rgb="FF000000"/>
        <rFont val="Arial"/>
        <scheme val="minor"/>
      </rPr>
      <t xml:space="preserve">Could be enhanced by providing examples of specific dietary restrictions or situations that lead to food waste, which would help to illustrate the diversity of the challenges.
--
</t>
    </r>
    <r>
      <rPr>
        <b/>
        <sz val="10"/>
        <color rgb="FF674EA7"/>
        <rFont val="Arial"/>
      </rPr>
      <t xml:space="preserve">An example below on how to improve problem statement in this format: </t>
    </r>
    <r>
      <rPr>
        <i/>
        <sz val="10"/>
        <rFont val="Arial"/>
      </rPr>
      <t>(Kindly refine problem statement in your own words)</t>
    </r>
    <r>
      <rPr>
        <sz val="10"/>
        <color rgb="FF000000"/>
        <rFont val="Arial"/>
        <scheme val="minor"/>
      </rPr>
      <t xml:space="preserve">
</t>
    </r>
    <r>
      <rPr>
        <b/>
        <sz val="10"/>
        <rFont val="Arial"/>
      </rPr>
      <t xml:space="preserve">[Background context] </t>
    </r>
    <r>
      <rPr>
        <sz val="10"/>
        <color rgb="FF000000"/>
        <rFont val="Arial"/>
        <scheme val="minor"/>
      </rPr>
      <t xml:space="preserve">
</t>
    </r>
    <r>
      <rPr>
        <u/>
        <sz val="10"/>
        <color rgb="FF674EA7"/>
        <rFont val="Arial"/>
      </rPr>
      <t xml:space="preserve">In Singapore, young professionals aged 25-35 struggle </t>
    </r>
    <r>
      <rPr>
        <sz val="10"/>
        <color rgb="FF000000"/>
        <rFont val="Arial"/>
        <scheme val="minor"/>
      </rPr>
      <t xml:space="preserve">with meal planning due to busy schedules and overwhelming recipe options. Health-conscious and often in dual-income households, they prioritise convenient, balanced meals that meet dietary needs like </t>
    </r>
    <r>
      <rPr>
        <u/>
        <sz val="10"/>
        <color rgb="FF674EA7"/>
        <rFont val="Arial"/>
      </rPr>
      <t>vegetarian, halal, and low-carb preferences etc</t>
    </r>
    <r>
      <rPr>
        <sz val="10"/>
        <color rgb="FF000000"/>
        <rFont val="Arial"/>
        <scheme val="minor"/>
      </rPr>
      <t xml:space="preserve">.
</t>
    </r>
    <r>
      <rPr>
        <b/>
        <sz val="10"/>
        <rFont val="Arial"/>
      </rPr>
      <t xml:space="preserve">This causes problem for: </t>
    </r>
    <r>
      <rPr>
        <sz val="10"/>
        <color rgb="FF000000"/>
        <rFont val="Arial"/>
        <scheme val="minor"/>
      </rPr>
      <t xml:space="preserve">busy households who aim to prepare balanced and satisfying meals.
</t>
    </r>
    <r>
      <rPr>
        <b/>
        <sz val="10"/>
        <rFont val="Arial"/>
      </rPr>
      <t xml:space="preserve">because: </t>
    </r>
    <r>
      <rPr>
        <sz val="10"/>
        <color rgb="FF000000"/>
        <rFont val="Arial"/>
        <scheme val="minor"/>
      </rPr>
      <t xml:space="preserve">they face decision fatigue and difficulty in selecting recipes that fit their dietary needs (e.g., vegetarian, gluten-free, or low-carb) and use available ingredients efficiently. As a result, they often end up buying unnecessary groceries, wasting food, or resorting to unhealthy takeout options.
</t>
    </r>
    <r>
      <rPr>
        <b/>
        <sz val="10"/>
        <rFont val="Arial"/>
      </rPr>
      <t>This is important because: i</t>
    </r>
    <r>
      <rPr>
        <sz val="10"/>
        <color rgb="FF000000"/>
        <rFont val="Arial"/>
        <scheme val="minor"/>
      </rPr>
      <t xml:space="preserve">t leads to increased food waste, extra grocery expenses, and a reliance on less nutritious meals, all of which undermine both personal health goals and broader sustainability efforts.
--
</t>
    </r>
    <r>
      <rPr>
        <b/>
        <sz val="10"/>
        <color rgb="FFA64D79"/>
        <rFont val="Arial"/>
      </rPr>
      <t xml:space="preserve">Might need to consider reworking proposed solution:
</t>
    </r>
    <r>
      <rPr>
        <b/>
        <sz val="10"/>
        <color rgb="FF674EA7"/>
        <rFont val="Arial"/>
      </rPr>
      <t>There are existing solutions that already provide some of the functionality of your proposed solution.</t>
    </r>
    <r>
      <rPr>
        <sz val="10"/>
        <color rgb="FF000000"/>
        <rFont val="Arial"/>
        <scheme val="minor"/>
      </rPr>
      <t xml:space="preserve">
</t>
    </r>
    <r>
      <rPr>
        <b/>
        <sz val="10"/>
        <rFont val="Arial"/>
      </rPr>
      <t>MealBoard</t>
    </r>
    <r>
      <rPr>
        <sz val="10"/>
        <color rgb="FF000000"/>
        <rFont val="Arial"/>
        <scheme val="minor"/>
      </rPr>
      <t xml:space="preserve">
An app that combines recipe management, meal planning, and grocery list generation. Users can import recipes, plan meals, and generate shopping lists based on their plans. It also allows users to input available ingredients to find suitable recipes.
</t>
    </r>
    <r>
      <rPr>
        <u/>
        <sz val="10"/>
        <color rgb="FF1155CC"/>
        <rFont val="Arial"/>
      </rPr>
      <t>MealBoard</t>
    </r>
    <r>
      <rPr>
        <sz val="10"/>
        <color rgb="FF000000"/>
        <rFont val="Arial"/>
        <scheme val="minor"/>
      </rPr>
      <t xml:space="preserve">
</t>
    </r>
    <r>
      <rPr>
        <b/>
        <sz val="10"/>
        <rFont val="Arial"/>
      </rPr>
      <t>Yummly</t>
    </r>
    <r>
      <rPr>
        <sz val="10"/>
        <color rgb="FF000000"/>
        <rFont val="Arial"/>
        <scheme val="minor"/>
      </rPr>
      <t xml:space="preserve">
A comprehensive app offering personalized recipe recommendations, meal planning, and grocery shopping assistance. Users can filter recipes based on dietary preferences, ingredients on hand, and cooking skills. Yummly also provides instructional videos and integrates with smart appliances.
</t>
    </r>
    <r>
      <rPr>
        <u/>
        <sz val="10"/>
        <color rgb="FF1155CC"/>
        <rFont val="Arial"/>
      </rPr>
      <t>Yummly</t>
    </r>
    <r>
      <rPr>
        <sz val="10"/>
        <color rgb="FF000000"/>
        <rFont val="Arial"/>
        <scheme val="minor"/>
      </rPr>
      <t xml:space="preserve">
</t>
    </r>
    <r>
      <rPr>
        <b/>
        <sz val="10"/>
        <rFont val="Arial"/>
      </rPr>
      <t>Eat This Much</t>
    </r>
    <r>
      <rPr>
        <sz val="10"/>
        <color rgb="FF000000"/>
        <rFont val="Arial"/>
        <scheme val="minor"/>
      </rPr>
      <t xml:space="preserve">
An automatic meal planner that generates meal plans based on user preferences, dietary goals, and available ingredients. It helps users adhere to specific calorie targets and dietary restrictions by providing tailored recipes and grocery lists.
</t>
    </r>
    <r>
      <rPr>
        <u/>
        <sz val="10"/>
        <color rgb="FF1155CC"/>
        <rFont val="Arial"/>
      </rPr>
      <t xml:space="preserve">Eat This Much
</t>
    </r>
    <r>
      <rPr>
        <sz val="10"/>
        <color rgb="FF000000"/>
        <rFont val="Arial"/>
        <scheme val="minor"/>
      </rPr>
      <t xml:space="preserve">
</t>
    </r>
    <r>
      <rPr>
        <b/>
        <sz val="10"/>
        <rFont val="Arial"/>
      </rPr>
      <t>YoRipe</t>
    </r>
    <r>
      <rPr>
        <sz val="10"/>
        <color rgb="FF000000"/>
        <rFont val="Arial"/>
        <scheme val="minor"/>
      </rPr>
      <t xml:space="preserve">
A local app featuring a vast collection of Asian-inspired recipes. Users can input dietary preferences and available ingredients to receive tailored recipe suggestions. The app also offers meal planning features and grocery list generation.
</t>
    </r>
    <r>
      <rPr>
        <u/>
        <sz val="10"/>
        <color rgb="FF1155CC"/>
        <rFont val="Arial"/>
      </rPr>
      <t>YoRipe</t>
    </r>
    <r>
      <rPr>
        <sz val="10"/>
        <color rgb="FF000000"/>
        <rFont val="Arial"/>
        <scheme val="minor"/>
      </rPr>
      <t xml:space="preserve">
</t>
    </r>
    <r>
      <rPr>
        <b/>
        <sz val="10"/>
        <rFont val="Arial"/>
      </rPr>
      <t>SamsungFood</t>
    </r>
    <r>
      <rPr>
        <sz val="10"/>
        <color rgb="FF000000"/>
        <rFont val="Arial"/>
        <scheme val="minor"/>
      </rPr>
      <t xml:space="preserve">
An app that enables users to save recipes from various sources, create meal plans, and generate shopping lists. Whisk integrates with multiple grocery delivery services, allowing users to order ingredients directly through the app. It also offers collaborative features for shared meal planning.
</t>
    </r>
    <r>
      <rPr>
        <u/>
        <sz val="10"/>
        <color rgb="FF1155CC"/>
        <rFont val="Arial"/>
      </rPr>
      <t xml:space="preserve">SamsungFood
</t>
    </r>
    <r>
      <rPr>
        <sz val="10"/>
        <color rgb="FF000000"/>
        <rFont val="Arial"/>
        <scheme val="minor"/>
      </rPr>
      <t xml:space="preserve">
</t>
    </r>
  </si>
  <si>
    <r>
      <rPr>
        <b/>
        <sz val="10"/>
        <rFont val="Arial"/>
      </rPr>
      <t>What's good:</t>
    </r>
    <r>
      <rPr>
        <sz val="10"/>
        <color rgb="FF000000"/>
        <rFont val="Arial"/>
        <scheme val="minor"/>
      </rPr>
      <t xml:space="preserve">
✓ </t>
    </r>
    <r>
      <rPr>
        <b/>
        <sz val="10"/>
        <rFont val="Arial"/>
      </rPr>
      <t>Target users</t>
    </r>
    <r>
      <rPr>
        <sz val="10"/>
        <color rgb="FF000000"/>
        <rFont val="Arial"/>
        <scheme val="minor"/>
      </rPr>
      <t xml:space="preserve"> clear (social drinkers and non-drinkers looking for inclusivity in beverage choices at gatherings)
✓ </t>
    </r>
    <r>
      <rPr>
        <b/>
        <sz val="10"/>
        <rFont val="Arial"/>
      </rPr>
      <t xml:space="preserve">Pain points </t>
    </r>
    <r>
      <rPr>
        <sz val="10"/>
        <color rgb="FF000000"/>
        <rFont val="Arial"/>
        <scheme val="minor"/>
      </rPr>
      <t xml:space="preserve">clear (non-drinkers often feel excluded due to limited non-alcoholic options; hosts struggle to create interesting drinks for all preferences)
✓ </t>
    </r>
    <r>
      <rPr>
        <b/>
        <sz val="10"/>
        <rFont val="Arial"/>
      </rPr>
      <t>Clear Hypothesis of consequences</t>
    </r>
    <r>
      <rPr>
        <sz val="10"/>
        <color rgb="FF000000"/>
        <rFont val="Arial"/>
        <scheme val="minor"/>
      </rPr>
      <t xml:space="preserve"> (reduced enjoyment and inclusivity at gatherings; non-drinkers miss out on the social experience of crafting and sharing unique drinks)
</t>
    </r>
    <r>
      <rPr>
        <sz val="10"/>
        <color rgb="FFA64D79"/>
        <rFont val="Arial"/>
      </rPr>
      <t>sidenote: clarity of hypothesis ≠ it is the right problem to solve. It just means you have a clear hypothesis to test (:</t>
    </r>
    <r>
      <rPr>
        <sz val="10"/>
        <color rgb="FF000000"/>
        <rFont val="Arial"/>
        <scheme val="minor"/>
      </rPr>
      <t xml:space="preserve">
</t>
    </r>
    <r>
      <rPr>
        <b/>
        <sz val="10"/>
        <rFont val="Arial"/>
      </rPr>
      <t xml:space="preserve">Could be better:
Target users: </t>
    </r>
    <r>
      <rPr>
        <sz val="10"/>
        <color rgb="FFA64D79"/>
        <rFont val="Arial"/>
      </rPr>
      <t>Are the target users based in Singapore or elsewhere, and what is their age group?</t>
    </r>
    <r>
      <rPr>
        <b/>
        <sz val="10"/>
        <rFont val="Arial"/>
      </rPr>
      <t xml:space="preserve">
Depth: </t>
    </r>
    <r>
      <rPr>
        <sz val="10"/>
        <color rgb="FF000000"/>
        <rFont val="Arial"/>
        <scheme val="minor"/>
      </rPr>
      <t xml:space="preserve">Could be enhanced with examples of scenarios where non-drinkers feel left out or where hosts find it challenging to cater to diverse preferences with their available ingredients.
</t>
    </r>
    <r>
      <rPr>
        <b/>
        <sz val="10"/>
        <rFont val="Arial"/>
      </rPr>
      <t>Concise:</t>
    </r>
    <r>
      <rPr>
        <sz val="10"/>
        <color rgb="FF000000"/>
        <rFont val="Arial"/>
        <scheme val="minor"/>
      </rPr>
      <t xml:space="preserve"> Slightly verbose; some repetition around inclusivity and creativity could be trimmed for a more direct impact.
--
</t>
    </r>
    <r>
      <rPr>
        <b/>
        <sz val="10"/>
        <rFont val="Arial"/>
      </rPr>
      <t xml:space="preserve">Problem Statement: </t>
    </r>
    <r>
      <rPr>
        <sz val="10"/>
        <color rgb="FF000000"/>
        <rFont val="Arial"/>
        <scheme val="minor"/>
      </rPr>
      <t xml:space="preserve">[Background context]
</t>
    </r>
    <r>
      <rPr>
        <b/>
        <sz val="10"/>
        <rFont val="Arial"/>
      </rPr>
      <t>This causes problem for:</t>
    </r>
    <r>
      <rPr>
        <sz val="10"/>
        <color rgb="FF000000"/>
        <rFont val="Arial"/>
        <scheme val="minor"/>
      </rPr>
      <t xml:space="preserve"> [user group]
</t>
    </r>
    <r>
      <rPr>
        <b/>
        <sz val="10"/>
        <rFont val="Arial"/>
      </rPr>
      <t>because:</t>
    </r>
    <r>
      <rPr>
        <sz val="10"/>
        <color rgb="FF000000"/>
        <rFont val="Arial"/>
        <scheme val="minor"/>
      </rPr>
      <t xml:space="preserve"> [how or why it affects the user]
</t>
    </r>
    <r>
      <rPr>
        <b/>
        <sz val="10"/>
        <rFont val="Arial"/>
      </rPr>
      <t xml:space="preserve">This is important </t>
    </r>
    <r>
      <rPr>
        <sz val="10"/>
        <color rgb="FF000000"/>
        <rFont val="Arial"/>
        <scheme val="minor"/>
      </rPr>
      <t xml:space="preserve">because: [impact of problem on the organisation]
</t>
    </r>
    <r>
      <rPr>
        <b/>
        <sz val="10"/>
        <color rgb="FF674EA7"/>
        <rFont val="Arial"/>
      </rPr>
      <t xml:space="preserve">An example below on how to improve problem statement in this format: </t>
    </r>
    <r>
      <rPr>
        <i/>
        <sz val="10"/>
        <rFont val="Arial"/>
      </rPr>
      <t>(Kindly refine problem statement in your own words)</t>
    </r>
    <r>
      <rPr>
        <sz val="10"/>
        <color rgb="FF674EA7"/>
        <rFont val="Arial"/>
      </rPr>
      <t xml:space="preserve">
</t>
    </r>
    <r>
      <rPr>
        <b/>
        <sz val="10"/>
        <rFont val="Arial"/>
      </rPr>
      <t xml:space="preserve">[Background context] </t>
    </r>
    <r>
      <rPr>
        <sz val="10"/>
        <color rgb="FF000000"/>
        <rFont val="Arial"/>
        <scheme val="minor"/>
      </rPr>
      <t xml:space="preserve">In social gatherings, individuals often enjoy cocktails, but non-drinkers can feel left out due to limited non-alcoholic options and lack of creativity with mocktails.
</t>
    </r>
    <r>
      <rPr>
        <b/>
        <sz val="10"/>
        <rFont val="Arial"/>
      </rPr>
      <t>This causes problem for:</t>
    </r>
    <r>
      <rPr>
        <sz val="10"/>
        <color rgb="FF000000"/>
        <rFont val="Arial"/>
        <scheme val="minor"/>
      </rPr>
      <t xml:space="preserve"> non-drinkers and hosts of gatherings
</t>
    </r>
    <r>
      <rPr>
        <b/>
        <sz val="10"/>
        <rFont val="Arial"/>
      </rPr>
      <t>because:</t>
    </r>
    <r>
      <rPr>
        <sz val="10"/>
        <color rgb="FF000000"/>
        <rFont val="Arial"/>
        <scheme val="minor"/>
      </rPr>
      <t xml:space="preserve"> non-drinkers miss out on the social experience of crafting and sharing unique drinks, and hosts may struggle to cater to diverse preferences with interesting beverage options.
</t>
    </r>
    <r>
      <rPr>
        <b/>
        <sz val="10"/>
        <rFont val="Arial"/>
      </rPr>
      <t xml:space="preserve">This is important because: </t>
    </r>
    <r>
      <rPr>
        <sz val="10"/>
        <color rgb="FF000000"/>
        <rFont val="Arial"/>
        <scheme val="minor"/>
      </rPr>
      <t xml:space="preserve">it can limit the inclusivity and enjoyment of social gatherings, affecting the overall atmosphere and experience for all participants.
--
</t>
    </r>
    <r>
      <rPr>
        <b/>
        <sz val="10"/>
        <rFont val="Arial"/>
      </rPr>
      <t xml:space="preserve">Competitor Analysis: 
</t>
    </r>
    <r>
      <rPr>
        <sz val="10"/>
        <color rgb="FFA64D79"/>
        <rFont val="Arial"/>
      </rPr>
      <t>For your proposed solution, there are existing apps that cater to cocktail and mocktail enthusiasts, each offering unique features. Here are some of them.</t>
    </r>
    <r>
      <rPr>
        <sz val="10"/>
        <color rgb="FF000000"/>
        <rFont val="Arial"/>
        <scheme val="minor"/>
      </rPr>
      <t xml:space="preserve">
</t>
    </r>
    <r>
      <rPr>
        <b/>
        <sz val="10"/>
        <rFont val="Arial"/>
      </rPr>
      <t>1. Cocktail Flow</t>
    </r>
    <r>
      <rPr>
        <sz val="10"/>
        <color rgb="FF000000"/>
        <rFont val="Arial"/>
        <scheme val="minor"/>
      </rPr>
      <t xml:space="preserve">
Provides a vast library of cocktail recipes with step-by-step instructions and allows users to input available ingredients to discover compatible drinks.
</t>
    </r>
    <r>
      <rPr>
        <u/>
        <sz val="10"/>
        <color rgb="FF1155CC"/>
        <rFont val="Arial"/>
      </rPr>
      <t>Website Link</t>
    </r>
    <r>
      <rPr>
        <sz val="10"/>
        <color rgb="FF000000"/>
        <rFont val="Arial"/>
        <scheme val="minor"/>
      </rPr>
      <t xml:space="preserve">
</t>
    </r>
    <r>
      <rPr>
        <b/>
        <sz val="10"/>
        <rFont val="Arial"/>
      </rPr>
      <t>2. Mixology™</t>
    </r>
    <r>
      <rPr>
        <sz val="10"/>
        <color rgb="FF000000"/>
        <rFont val="Arial"/>
        <scheme val="minor"/>
      </rPr>
      <t xml:space="preserve">
An extensive encyclopedia of drink recipes and bartender tips, enabling users to explore and create a wide range of beverages.
</t>
    </r>
    <r>
      <rPr>
        <u/>
        <sz val="10"/>
        <color rgb="FF1155CC"/>
        <rFont val="Arial"/>
      </rPr>
      <t>Website Link</t>
    </r>
    <r>
      <rPr>
        <sz val="10"/>
        <color rgb="FF000000"/>
        <rFont val="Arial"/>
        <scheme val="minor"/>
      </rPr>
      <t xml:space="preserve">
</t>
    </r>
    <r>
      <rPr>
        <b/>
        <sz val="10"/>
        <rFont val="Arial"/>
      </rPr>
      <t>3. Mixel</t>
    </r>
    <r>
      <rPr>
        <sz val="10"/>
        <color rgb="FF000000"/>
        <rFont val="Arial"/>
        <scheme val="minor"/>
      </rPr>
      <t xml:space="preserve">
Offers a curated library of over 2,600 cocktail recipes, allowing users to filter and share recipes based on the ingredients they have.
</t>
    </r>
    <r>
      <rPr>
        <u/>
        <sz val="10"/>
        <color rgb="FF1155CC"/>
        <rFont val="Arial"/>
      </rPr>
      <t>Website Link</t>
    </r>
    <r>
      <rPr>
        <sz val="10"/>
        <color rgb="FF000000"/>
        <rFont val="Arial"/>
        <scheme val="minor"/>
      </rPr>
      <t xml:space="preserve">
</t>
    </r>
    <r>
      <rPr>
        <b/>
        <sz val="10"/>
        <rFont val="Arial"/>
      </rPr>
      <t>4. Mocktail Maker</t>
    </r>
    <r>
      <rPr>
        <sz val="10"/>
        <color rgb="FF000000"/>
        <rFont val="Arial"/>
        <scheme val="minor"/>
      </rPr>
      <t xml:space="preserve">
Focuses exclusively on non-alcoholic beverages, featuring a collection of simple and elegant mocktail recipes.
</t>
    </r>
    <r>
      <rPr>
        <u/>
        <sz val="10"/>
        <color rgb="FF1155CC"/>
        <rFont val="Arial"/>
      </rPr>
      <t>Google Play Store Link</t>
    </r>
    <r>
      <rPr>
        <sz val="10"/>
        <color rgb="FF000000"/>
        <rFont val="Arial"/>
        <scheme val="minor"/>
      </rPr>
      <t xml:space="preserve">
</t>
    </r>
    <r>
      <rPr>
        <b/>
        <sz val="10"/>
        <rFont val="Arial"/>
      </rPr>
      <t>5. Simply Mocktails</t>
    </r>
    <r>
      <rPr>
        <sz val="10"/>
        <color rgb="FF000000"/>
        <rFont val="Arial"/>
        <scheme val="minor"/>
      </rPr>
      <t xml:space="preserve">
Provides a collection of cocktail-inspired recipes without alcohol, searchable by drink category, base ingredients, flavor profile, and season.
</t>
    </r>
    <r>
      <rPr>
        <u/>
        <sz val="10"/>
        <color rgb="FF1155CC"/>
        <rFont val="Arial"/>
      </rPr>
      <t xml:space="preserve">App Store Link
</t>
    </r>
    <r>
      <rPr>
        <sz val="10"/>
        <color rgb="FF000000"/>
        <rFont val="Arial"/>
        <scheme val="minor"/>
      </rPr>
      <t xml:space="preserve">--
</t>
    </r>
    <r>
      <rPr>
        <b/>
        <sz val="10"/>
        <color rgb="FFA64D79"/>
        <rFont val="Arial"/>
      </rPr>
      <t>Might need to consider reworking proposed solution:</t>
    </r>
    <r>
      <rPr>
        <b/>
        <sz val="10"/>
        <color rgb="FF674EA7"/>
        <rFont val="Arial"/>
      </rPr>
      <t xml:space="preserve">
There are existing solutions that already provide some of the functionality of your proposed solution.</t>
    </r>
    <r>
      <rPr>
        <sz val="10"/>
        <color rgb="FF000000"/>
        <rFont val="Arial"/>
        <scheme val="minor"/>
      </rPr>
      <t xml:space="preserve">
Example: While these apps offer a variety of cocktail and mocktail recipes,</t>
    </r>
    <r>
      <rPr>
        <b/>
        <sz val="10"/>
        <rFont val="Arial"/>
      </rPr>
      <t xml:space="preserve"> there is a notable gap in providing personalised, ingredient-based recommendations that seamlessly integrate both alcoholic and non-alcoholic options.</t>
    </r>
    <r>
      <rPr>
        <sz val="10"/>
        <color rgb="FF000000"/>
        <rFont val="Arial"/>
        <scheme val="minor"/>
      </rPr>
      <t xml:space="preserve"> None of these apps generate corresponding mocktail variations for every cocktail recipe, which would allow both drinkers and non-drinkers to enjoy similar flavors in a social setting.
An app that offers personalised cocktail and mocktail recipes based on the ingredients available, while ensuring mocktail options are always accessible, would address this gap. This approach would foster inclusivity and creativity in social settings, ensuring that all participants can enjoy the experience of crafting and sharing unique beverages, regardless of their preference for alcohol.</t>
    </r>
  </si>
  <si>
    <r>
      <t xml:space="preserve">The problem statement is clear in specifying the target users, pain points, and consequences, and it provides an appropriate depth that captures the problem in a concise yet insightful manner.
</t>
    </r>
    <r>
      <rPr>
        <b/>
        <sz val="10"/>
        <color rgb="FF674EA7"/>
        <rFont val="Arial"/>
      </rPr>
      <t>An example below on how to improve problem statement in this format:</t>
    </r>
    <r>
      <rPr>
        <b/>
        <i/>
        <sz val="10"/>
        <color rgb="FF674EA7"/>
        <rFont val="Arial"/>
      </rPr>
      <t xml:space="preserve"> </t>
    </r>
    <r>
      <rPr>
        <b/>
        <i/>
        <sz val="10"/>
        <rFont val="Arial"/>
      </rPr>
      <t>(</t>
    </r>
    <r>
      <rPr>
        <i/>
        <sz val="10"/>
        <rFont val="Arial"/>
      </rPr>
      <t>Feel free to refine problem statement in your own words)</t>
    </r>
    <r>
      <rPr>
        <sz val="10"/>
        <color rgb="FF000000"/>
        <rFont val="Arial"/>
        <scheme val="minor"/>
      </rPr>
      <t xml:space="preserve">
</t>
    </r>
    <r>
      <rPr>
        <b/>
        <sz val="10"/>
        <rFont val="Arial"/>
      </rPr>
      <t xml:space="preserve">[Background context] </t>
    </r>
    <r>
      <rPr>
        <sz val="10"/>
        <color rgb="FF000000"/>
        <rFont val="Arial"/>
        <scheme val="minor"/>
      </rPr>
      <t xml:space="preserve">People who do casual, ad-hoc recommendations (e.g., “weekly roundup of art exhibitions,” “fave music drops this week,” “my top 3 cafes in SG”) need to manually compile and share recommendation lists, often switching between multiple apps and copy-pasting previously-used templates or lists.
</t>
    </r>
    <r>
      <rPr>
        <b/>
        <sz val="10"/>
        <rFont val="Arial"/>
      </rPr>
      <t xml:space="preserve">This causes problem for: </t>
    </r>
    <r>
      <rPr>
        <sz val="10"/>
        <color rgb="FF000000"/>
        <rFont val="Arial"/>
        <scheme val="minor"/>
      </rPr>
      <t xml:space="preserve">users who frequently create and share recommendation lists.
</t>
    </r>
    <r>
      <rPr>
        <b/>
        <sz val="10"/>
        <rFont val="Arial"/>
      </rPr>
      <t>because:</t>
    </r>
    <r>
      <rPr>
        <sz val="10"/>
        <color rgb="FF000000"/>
        <rFont val="Arial"/>
        <scheme val="minor"/>
      </rPr>
      <t xml:space="preserve"> they spend additional time and face inconvenience due to the lack of a quick and convenient way to make and share these lists.
</t>
    </r>
    <r>
      <rPr>
        <b/>
        <sz val="10"/>
        <rFont val="Arial"/>
      </rPr>
      <t xml:space="preserve">This is important because: </t>
    </r>
    <r>
      <rPr>
        <sz val="10"/>
        <color rgb="FF000000"/>
        <rFont val="Arial"/>
        <scheme val="minor"/>
      </rPr>
      <t xml:space="preserve">it discourages users from sharing recommendations as frequently and adds unnecessary friction to the process.
--
</t>
    </r>
    <r>
      <rPr>
        <b/>
        <sz val="10"/>
        <color rgb="FFA64D79"/>
        <rFont val="Arial"/>
      </rPr>
      <t>Might need to consider reworking proposed solution:</t>
    </r>
    <r>
      <rPr>
        <sz val="10"/>
        <color rgb="FF000000"/>
        <rFont val="Arial"/>
        <scheme val="minor"/>
      </rPr>
      <t xml:space="preserve">
</t>
    </r>
    <r>
      <rPr>
        <b/>
        <sz val="10"/>
        <color rgb="FF674EA7"/>
        <rFont val="Arial"/>
      </rPr>
      <t xml:space="preserve">There are existing solutions that already provide </t>
    </r>
    <r>
      <rPr>
        <b/>
        <u/>
        <sz val="10"/>
        <color rgb="FF674EA7"/>
        <rFont val="Arial"/>
      </rPr>
      <t xml:space="preserve">some </t>
    </r>
    <r>
      <rPr>
        <b/>
        <sz val="10"/>
        <color rgb="FF674EA7"/>
        <rFont val="Arial"/>
      </rPr>
      <t xml:space="preserve">of the functionality of your proposed solution.
</t>
    </r>
    <r>
      <rPr>
        <b/>
        <sz val="10"/>
        <rFont val="Arial"/>
      </rPr>
      <t>- Listy:</t>
    </r>
    <r>
      <rPr>
        <sz val="10"/>
        <color rgb="FF000000"/>
        <rFont val="Arial"/>
        <scheme val="minor"/>
      </rPr>
      <t xml:space="preserve"> A free app that allows users to create and share visual lists of their favorite things, such as books, movies, or restaurants. It simplifies the process of compiling recommendations by automatically including related images and enabling easy sharing with friends.
</t>
    </r>
    <r>
      <rPr>
        <u/>
        <sz val="10"/>
        <color rgb="FF1155CC"/>
        <rFont val="Arial"/>
      </rPr>
      <t xml:space="preserve">Website link
</t>
    </r>
    <r>
      <rPr>
        <b/>
        <sz val="10"/>
        <rFont val="Arial"/>
      </rPr>
      <t>- Google Maps Lists &amp; Food Pins</t>
    </r>
    <r>
      <rPr>
        <sz val="10"/>
        <color rgb="FF000000"/>
        <rFont val="Arial"/>
        <scheme val="minor"/>
      </rPr>
      <t xml:space="preserve">
Users can save locations (e.g., restaurants, attractions) directly on Google Maps and create custom lists with pins for easy sharing. It's widely used for food and travel recommendations but lacks customization for non-location-based recommendations.
</t>
    </r>
    <r>
      <rPr>
        <b/>
        <sz val="10"/>
        <rFont val="Arial"/>
      </rPr>
      <t>- Excel/Google Sheets</t>
    </r>
    <r>
      <rPr>
        <sz val="10"/>
        <color rgb="FF000000"/>
        <rFont val="Arial"/>
        <scheme val="minor"/>
      </rPr>
      <t xml:space="preserve">
Many users rely on spreadsheets to compile and organize recommendation lists, adding details like ratings, comments, and links. It’s highly customizable but lacks convenience for quick sharing and an engaging visual format.
</t>
    </r>
    <r>
      <rPr>
        <b/>
        <sz val="10"/>
        <rFont val="Arial"/>
      </rPr>
      <t>- Lemon8</t>
    </r>
    <r>
      <rPr>
        <sz val="10"/>
        <color rgb="FF000000"/>
        <rFont val="Arial"/>
        <scheme val="minor"/>
      </rPr>
      <t xml:space="preserve">
Lemon8 is a social media platform where users can share visual recommendations on food, travel, lifestyle, and more. It’s visually engaging and supports content sharing but is less structured for list creation or easy exporting.
</t>
    </r>
    <r>
      <rPr>
        <u/>
        <sz val="10"/>
        <color rgb="FF1155CC"/>
        <rFont val="Arial"/>
      </rPr>
      <t xml:space="preserve">App Link
</t>
    </r>
    <r>
      <rPr>
        <b/>
        <sz val="10"/>
        <rFont val="Arial"/>
      </rPr>
      <t>- Pinterest</t>
    </r>
    <r>
      <rPr>
        <sz val="10"/>
        <color rgb="FF000000"/>
        <rFont val="Arial"/>
        <scheme val="minor"/>
      </rPr>
      <t xml:space="preserve">
Users create boards to pin ideas, articles, and recommendations across topics. It’s highly visual and suitable for compiling diverse recommendations, but it’s not localized to Singapore-specific content.
</t>
    </r>
    <r>
      <rPr>
        <b/>
        <sz val="10"/>
        <rFont val="Arial"/>
      </rPr>
      <t>- Facebook and Instagram Stories/Highlights</t>
    </r>
    <r>
      <rPr>
        <sz val="10"/>
        <color rgb="FF000000"/>
        <rFont val="Arial"/>
        <scheme val="minor"/>
      </rPr>
      <t xml:space="preserve">
Many users share recommendations via Stories or Highlights, especially on Instagram. While easy to share, the recommendations aren’t structured, searchable, or long-lasting, making it harder to organize or revisit.
- </t>
    </r>
    <r>
      <rPr>
        <b/>
        <sz val="10"/>
        <rFont val="Arial"/>
      </rPr>
      <t xml:space="preserve">SG Weekend Telegram Channel: </t>
    </r>
    <r>
      <rPr>
        <sz val="10"/>
        <color rgb="FF000000"/>
        <rFont val="Arial"/>
        <scheme val="minor"/>
      </rPr>
      <t xml:space="preserve">Provides ideas and updates on events and activities happening over the weekend.
</t>
    </r>
    <r>
      <rPr>
        <u/>
        <sz val="10"/>
        <color rgb="FF1155CC"/>
        <rFont val="Arial"/>
      </rPr>
      <t xml:space="preserve">https://t.me/sgweekend
</t>
    </r>
    <r>
      <rPr>
        <sz val="10"/>
        <color rgb="FF000000"/>
        <rFont val="Arial"/>
        <scheme val="minor"/>
      </rPr>
      <t xml:space="preserve">- </t>
    </r>
    <r>
      <rPr>
        <b/>
        <sz val="10"/>
        <rFont val="Arial"/>
      </rPr>
      <t xml:space="preserve">Singapore Art and Gallery Guide:
</t>
    </r>
    <r>
      <rPr>
        <u/>
        <sz val="10"/>
        <color rgb="FF1155CC"/>
        <rFont val="Arial"/>
      </rPr>
      <t>https://sagg.info/</t>
    </r>
  </si>
  <si>
    <r>
      <rPr>
        <sz val="10"/>
        <rFont val="Arial"/>
      </rPr>
      <t xml:space="preserve">This problem statement generally meets the clarity and depth requirements but can be refined slightly for greater specificity and focus especially:
</t>
    </r>
    <r>
      <rPr>
        <b/>
        <sz val="10"/>
        <rFont val="Arial"/>
      </rPr>
      <t>What's good:</t>
    </r>
    <r>
      <rPr>
        <sz val="10"/>
        <rFont val="Arial"/>
      </rPr>
      <t xml:space="preserve">
✓ Pain points clear (uncertainty about which materials are recyclable, leading to confusion and improper disposal)
✓ Consequences clear (increase in non-recyclable items in recycling bins, reducing the effectiveness of recycling efforts)
✓ Problem depth is appropriate with strong context on Singapore’s sustainability goals and the disconnect between household understanding and recycling practices.
</t>
    </r>
    <r>
      <rPr>
        <b/>
        <sz val="10"/>
        <rFont val="Arial"/>
      </rPr>
      <t>Can be better:</t>
    </r>
    <r>
      <rPr>
        <sz val="10"/>
        <rFont val="Arial"/>
      </rPr>
      <t xml:space="preserve">
</t>
    </r>
    <r>
      <rPr>
        <b/>
        <sz val="10"/>
        <rFont val="Arial"/>
      </rPr>
      <t xml:space="preserve">Target users: </t>
    </r>
    <r>
      <rPr>
        <sz val="10"/>
        <rFont val="Arial"/>
      </rPr>
      <t xml:space="preserve">is it all residents in singapore or specifically adults, households or families?
</t>
    </r>
    <r>
      <rPr>
        <b/>
        <sz val="10"/>
        <rFont val="Arial"/>
      </rPr>
      <t xml:space="preserve">Depth: </t>
    </r>
    <r>
      <rPr>
        <sz val="10"/>
        <rFont val="Arial"/>
      </rPr>
      <t xml:space="preserve">Could be enhanced by providing specific examples of common items that are improperly recycled to illustrate the types of misunderstandings. This would add clarity on the nature of the knowledge gap.
</t>
    </r>
    <r>
      <rPr>
        <b/>
        <sz val="10"/>
        <rFont val="Arial"/>
      </rPr>
      <t xml:space="preserve">Concise: </t>
    </r>
    <r>
      <rPr>
        <sz val="10"/>
        <rFont val="Arial"/>
      </rPr>
      <t xml:space="preserve">A bit lengthy; could be streamlined by reducing phrases that reiterate Singapore’s sustainability focus, as it is mentioned multiple times.
--
</t>
    </r>
    <r>
      <rPr>
        <b/>
        <sz val="10"/>
        <color rgb="FF674EA7"/>
        <rFont val="Arial"/>
      </rPr>
      <t xml:space="preserve">An example below on how to improve problem statement in this format: </t>
    </r>
    <r>
      <rPr>
        <i/>
        <sz val="10"/>
        <rFont val="Arial"/>
      </rPr>
      <t>(Kindly refine problem statement in your own words)</t>
    </r>
    <r>
      <rPr>
        <sz val="10"/>
        <rFont val="Arial"/>
      </rPr>
      <t xml:space="preserve">
[Background context] In Singapore, </t>
    </r>
    <r>
      <rPr>
        <sz val="10"/>
        <color rgb="FF674EA7"/>
        <rFont val="Arial"/>
      </rPr>
      <t xml:space="preserve">many residents in Singapore </t>
    </r>
    <r>
      <rPr>
        <sz val="10"/>
        <rFont val="Arial"/>
      </rPr>
      <t xml:space="preserve">are unsure about which materials can be recycled, causing confusion and improper waste disposal in residential areas.
</t>
    </r>
    <r>
      <rPr>
        <b/>
        <sz val="10"/>
        <rFont val="Arial"/>
      </rPr>
      <t xml:space="preserve">This causes problem for: </t>
    </r>
    <r>
      <rPr>
        <sz val="10"/>
        <rFont val="Arial"/>
      </rPr>
      <t xml:space="preserve">household families in Singapore.
</t>
    </r>
    <r>
      <rPr>
        <b/>
        <sz val="10"/>
        <rFont val="Arial"/>
      </rPr>
      <t xml:space="preserve">because: </t>
    </r>
    <r>
      <rPr>
        <sz val="10"/>
        <rFont val="Arial"/>
      </rPr>
      <t xml:space="preserve">they lack clear guidance on recyclable materials, leading to non-recyclable items being placed in recycling bins and reducing the efficiency of recycling efforts.
</t>
    </r>
    <r>
      <rPr>
        <b/>
        <sz val="10"/>
        <rFont val="Arial"/>
      </rPr>
      <t>This is important because:</t>
    </r>
    <r>
      <rPr>
        <sz val="10"/>
        <rFont val="Arial"/>
      </rPr>
      <t xml:space="preserve"> it undermines Singapore's sustainability initiatives and hampers progress toward the nation’s goal of becoming zero-waste.
--
</t>
    </r>
    <r>
      <rPr>
        <b/>
        <sz val="10"/>
        <color rgb="FF674EA7"/>
        <rFont val="Arial"/>
      </rPr>
      <t>Here’s a useful research study on the challenges of driving sustainability in Singapore that could help guide your proposed solution:</t>
    </r>
    <r>
      <rPr>
        <sz val="10"/>
        <rFont val="Arial"/>
      </rPr>
      <t xml:space="preserve">
</t>
    </r>
    <r>
      <rPr>
        <b/>
        <sz val="10"/>
        <rFont val="Arial"/>
      </rPr>
      <t xml:space="preserve">Fostering Sustainability in Singapore by StudioDojo: </t>
    </r>
    <r>
      <rPr>
        <u/>
        <sz val="10"/>
        <color rgb="FF1155CC"/>
        <rFont val="Arial"/>
      </rPr>
      <t xml:space="preserve">https://www.studiodojo.com/wp-content/uploads/2023/11/Fostering-Sustainability-in-Singapore-Full-Report.pdf
</t>
    </r>
    <r>
      <rPr>
        <sz val="10"/>
        <rFont val="Arial"/>
      </rPr>
      <t xml:space="preserve">--
</t>
    </r>
    <r>
      <rPr>
        <b/>
        <sz val="10"/>
        <color rgb="FFA64D79"/>
        <rFont val="Arial"/>
      </rPr>
      <t>Might need to consider reworking proposed solution:</t>
    </r>
    <r>
      <rPr>
        <b/>
        <sz val="10"/>
        <rFont val="Arial"/>
      </rPr>
      <t xml:space="preserve">
</t>
    </r>
    <r>
      <rPr>
        <b/>
        <sz val="10"/>
        <color rgb="FF674EA7"/>
        <rFont val="Arial"/>
      </rPr>
      <t>There are existing solutions that already provide the functionality of your proposed solution.</t>
    </r>
    <r>
      <rPr>
        <b/>
        <sz val="10"/>
        <rFont val="Arial"/>
      </rPr>
      <t xml:space="preserve">
- Bloobin AI Chatbot: </t>
    </r>
    <r>
      <rPr>
        <sz val="10"/>
        <rFont val="Arial"/>
      </rPr>
      <t xml:space="preserve">Launched by the National Environment Agency (NEA), Bloobin is an AI-powered chatbot available on WhatsApp and Telegram. Users can describe or upload pictures of items to receive immediate feedback on their recyclability. </t>
    </r>
    <r>
      <rPr>
        <u/>
        <sz val="10"/>
        <color rgb="FF1155CC"/>
        <rFont val="Arial"/>
      </rPr>
      <t>Bloobin AI chatbot</t>
    </r>
    <r>
      <rPr>
        <sz val="10"/>
        <rFont val="Arial"/>
      </rPr>
      <t xml:space="preserve">, </t>
    </r>
    <r>
      <rPr>
        <u/>
        <sz val="10"/>
        <color rgb="FF1155CC"/>
        <rFont val="Arial"/>
      </rPr>
      <t xml:space="preserve">Recycling Search Engine </t>
    </r>
    <r>
      <rPr>
        <sz val="10"/>
        <rFont val="Arial"/>
      </rPr>
      <t xml:space="preserve">or </t>
    </r>
    <r>
      <rPr>
        <u/>
        <sz val="10"/>
        <color rgb="FF1155CC"/>
        <rFont val="Arial"/>
      </rPr>
      <t>Bloobin’s Recycling Guide</t>
    </r>
    <r>
      <rPr>
        <sz val="10"/>
        <rFont val="Arial"/>
      </rPr>
      <t xml:space="preserve">. 
- To report issues on recycling bins, there are existing channels e.g </t>
    </r>
    <r>
      <rPr>
        <u/>
        <sz val="10"/>
        <color rgb="FF1155CC"/>
        <rFont val="Arial"/>
      </rPr>
      <t>OneService Platform</t>
    </r>
    <r>
      <rPr>
        <sz val="10"/>
        <rFont val="Arial"/>
      </rPr>
      <t xml:space="preserve"> &amp; </t>
    </r>
    <r>
      <rPr>
        <u/>
        <sz val="10"/>
        <color rgb="FF1155CC"/>
        <rFont val="Arial"/>
      </rPr>
      <t>NEA's feedback from</t>
    </r>
  </si>
  <si>
    <r>
      <rPr>
        <sz val="10"/>
        <color theme="1"/>
        <rFont val="Arial"/>
      </rPr>
      <t xml:space="preserve">[Revised] There are many different types of team building activities for employees to participate in. However, when team welfare representatives/officers need to find and plan these activities for their divisions' team bonding day, they need to search across multiple sources online due to a lack of a centralised platform that consolidates activities based on factors/preferences (e.g. activity type, cost). This results in additional work and time spent by welfare reps/officers to search and manually consolidate the activities based on certain factors/preferences, which is inefficient and lowers productivity. 
</t>
    </r>
    <r>
      <rPr>
        <sz val="10"/>
        <color rgb="FF999999"/>
        <rFont val="Arial"/>
      </rPr>
      <t>[Prev] Employees/teams need to search across various sources online to find/sieve out team building activities. This results in additional work and time spent on searching and manually consolidating team building activities to pick and decide based on certain factors/preferences such as cost, activity type.</t>
    </r>
  </si>
  <si>
    <r>
      <rPr>
        <sz val="10"/>
        <color theme="1"/>
        <rFont val="Arial"/>
      </rPr>
      <t xml:space="preserve">Problem statement is mostly clear but can be further refined for clarity and depth:
- Target users: 'Employees/teams' are a bit vague and can benefit to be more specific (e.g. HR team members? team leads?)
- Pain points: Would be helpful to clarity </t>
    </r>
    <r>
      <rPr>
        <b/>
        <sz val="10"/>
        <color theme="1"/>
        <rFont val="Arial"/>
      </rPr>
      <t>why</t>
    </r>
    <r>
      <rPr>
        <sz val="10"/>
        <color theme="1"/>
        <rFont val="Arial"/>
      </rPr>
      <t xml:space="preserve"> they are looking at multiple sources (e.g. lack of centralised platform?), and </t>
    </r>
    <r>
      <rPr>
        <b/>
        <sz val="10"/>
        <color theme="1"/>
        <rFont val="Arial"/>
      </rPr>
      <t>when</t>
    </r>
    <r>
      <rPr>
        <sz val="10"/>
        <color theme="1"/>
        <rFont val="Arial"/>
      </rPr>
      <t xml:space="preserve"> this process happens
- Consequences: Can explore going a bit deeper by explaining the </t>
    </r>
    <r>
      <rPr>
        <b/>
        <sz val="10"/>
        <color theme="1"/>
        <rFont val="Arial"/>
      </rPr>
      <t>impact</t>
    </r>
    <r>
      <rPr>
        <sz val="10"/>
        <color theme="1"/>
        <rFont val="Arial"/>
      </rPr>
      <t xml:space="preserve"> of additional work and time spent ie. lowered productivity
- Depth: good overview but consider drilling into the root causes and specific needs</t>
    </r>
  </si>
  <si>
    <r>
      <rPr>
        <sz val="10"/>
        <color theme="1"/>
        <rFont val="Arial"/>
      </rPr>
      <t>A webapp that can help to effectively consolidate and provide a 'one-stop view' standard formatting for credit card payment due date, transaction amount, merchant/item description</t>
    </r>
    <r>
      <rPr>
        <b/>
        <u/>
        <sz val="10"/>
        <color theme="1"/>
        <rFont val="Arial"/>
      </rPr>
      <t xml:space="preserve"> and/or </t>
    </r>
    <r>
      <rPr>
        <sz val="10"/>
        <color theme="1"/>
        <rFont val="Arial"/>
      </rPr>
      <t xml:space="preserve">reward points (optional) so that users can </t>
    </r>
    <r>
      <rPr>
        <strike/>
        <sz val="10"/>
        <color rgb="FF0000FF"/>
        <rFont val="Arial"/>
      </rPr>
      <t>easily manage multiple credit cards and gain insights into their spending habits.</t>
    </r>
    <r>
      <rPr>
        <sz val="10"/>
        <color theme="1"/>
        <rFont val="Arial"/>
      </rPr>
      <t xml:space="preserve"> have greater awareness of their monthly cashflow/increase savings by having accurate info in their spend patterns.</t>
    </r>
  </si>
  <si>
    <r>
      <rPr>
        <sz val="10"/>
        <color theme="1"/>
        <rFont val="Arial"/>
      </rPr>
      <t xml:space="preserve">Teachers need to stay updated on the latest digital tools to enhance productivity amidst their busy schedules and other higher work priorities, such as Teaching and Learning </t>
    </r>
    <r>
      <rPr>
        <sz val="10"/>
        <color rgb="FFB45F06"/>
        <rFont val="Arial"/>
      </rPr>
      <t xml:space="preserve">(T&amp;L) </t>
    </r>
    <r>
      <rPr>
        <sz val="10"/>
        <color theme="1"/>
        <rFont val="Arial"/>
      </rPr>
      <t xml:space="preserve">and holistic development of their students. </t>
    </r>
    <r>
      <rPr>
        <sz val="10"/>
        <color rgb="FFB45F06"/>
        <rFont val="Arial"/>
      </rPr>
      <t>However</t>
    </r>
    <r>
      <rPr>
        <sz val="10"/>
        <color theme="1"/>
        <rFont val="Arial"/>
      </rPr>
      <t xml:space="preserve">, this </t>
    </r>
    <r>
      <rPr>
        <sz val="10"/>
        <color rgb="FFB45F06"/>
        <rFont val="Arial"/>
      </rPr>
      <t>requires</t>
    </r>
    <r>
      <rPr>
        <sz val="10"/>
        <color theme="1"/>
        <rFont val="Arial"/>
      </rPr>
      <t xml:space="preserve"> additional time to research and understand these digital tools before selecting a suitable one for their needs</t>
    </r>
    <r>
      <rPr>
        <sz val="10"/>
        <color rgb="FFB45F06"/>
        <rFont val="Arial"/>
      </rPr>
      <t>, as there is no one-stop site introducing the different digital tools which teachers can refer to. This process takes away time that could be better spent on their core duties and higher work priorities.</t>
    </r>
  </si>
  <si>
    <r>
      <rPr>
        <sz val="10"/>
        <color theme="1"/>
        <rFont val="Arial"/>
      </rPr>
      <t xml:space="preserve">1. Target users:  working mothers, children, family 
2. Problem statement - have to decide if actual users is the Mum or the children.   
</t>
    </r>
    <r>
      <rPr>
        <b/>
        <sz val="10"/>
        <color theme="1"/>
        <rFont val="Arial"/>
      </rPr>
      <t xml:space="preserve">What's good:
</t>
    </r>
    <r>
      <rPr>
        <sz val="10"/>
        <color theme="1"/>
        <rFont val="Arial"/>
      </rPr>
      <t xml:space="preserve">✓ </t>
    </r>
    <r>
      <rPr>
        <b/>
        <sz val="10"/>
        <color theme="1"/>
        <rFont val="Arial"/>
      </rPr>
      <t xml:space="preserve">Target users </t>
    </r>
    <r>
      <rPr>
        <sz val="10"/>
        <color theme="1"/>
        <rFont val="Arial"/>
      </rPr>
      <t xml:space="preserve">clear (working mothers who need quick meal solutions for their children)
✓ </t>
    </r>
    <r>
      <rPr>
        <b/>
        <sz val="10"/>
        <color theme="1"/>
        <rFont val="Arial"/>
      </rPr>
      <t>Pain points</t>
    </r>
    <r>
      <rPr>
        <sz val="10"/>
        <color theme="1"/>
        <rFont val="Arial"/>
      </rPr>
      <t xml:space="preserve"> clear (limited time to cook after work, need for child-friendly recipes that cater to preferences and allergies, and meals that children can warm up themselves)
✓ </t>
    </r>
    <r>
      <rPr>
        <b/>
        <sz val="10"/>
        <color theme="1"/>
        <rFont val="Arial"/>
      </rPr>
      <t>Consequences</t>
    </r>
    <r>
      <rPr>
        <sz val="10"/>
        <color theme="1"/>
        <rFont val="Arial"/>
      </rPr>
      <t xml:space="preserve"> clear (reliance on limited, repetitive meal options; children become bored with meals, lose appetite, and may not eat well)
✓</t>
    </r>
    <r>
      <rPr>
        <b/>
        <sz val="10"/>
        <color theme="1"/>
        <rFont val="Arial"/>
      </rPr>
      <t xml:space="preserve"> Problem dept</t>
    </r>
    <r>
      <rPr>
        <sz val="10"/>
        <color theme="1"/>
        <rFont val="Arial"/>
      </rPr>
      <t xml:space="preserve">h is appropriate with context around busy schedules and the need for meals that meet both time constraints and dietary considerations for children.
</t>
    </r>
    <r>
      <rPr>
        <b/>
        <sz val="10"/>
        <color theme="1"/>
        <rFont val="Arial"/>
      </rPr>
      <t>Could do better:</t>
    </r>
    <r>
      <rPr>
        <sz val="10"/>
        <color theme="1"/>
        <rFont val="Arial"/>
      </rPr>
      <t xml:space="preserve">
</t>
    </r>
    <r>
      <rPr>
        <b/>
        <sz val="10"/>
        <color theme="1"/>
        <rFont val="Arial"/>
      </rPr>
      <t xml:space="preserve">- Depth: </t>
    </r>
    <r>
      <rPr>
        <sz val="10"/>
        <color theme="1"/>
        <rFont val="Arial"/>
      </rPr>
      <t xml:space="preserve">Could be enhanced by specifying common dietary restrictions or examples of child-friendly options that working mothers typically rely on, to illustrate the meal limitations more vividly.
- </t>
    </r>
    <r>
      <rPr>
        <b/>
        <sz val="10"/>
        <color theme="1"/>
        <rFont val="Arial"/>
      </rPr>
      <t xml:space="preserve">Concise: </t>
    </r>
    <r>
      <rPr>
        <sz val="10"/>
        <color theme="1"/>
        <rFont val="Arial"/>
      </rPr>
      <t xml:space="preserve">Slightly verbose, can be more direct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In Singapore, working mothers need easy, pre-prepared dinner ideas that cater to children’s preferences, allergies, and dietary needs, allowing kids to reheat meals themselves.
</t>
    </r>
    <r>
      <rPr>
        <b/>
        <sz val="10"/>
        <color theme="1"/>
        <rFont val="Arial"/>
      </rPr>
      <t xml:space="preserve">This causes problem for: </t>
    </r>
    <r>
      <rPr>
        <sz val="10"/>
        <color theme="1"/>
        <rFont val="Arial"/>
      </rPr>
      <t xml:space="preserve">time-pressed working mothers with limited meal options.
</t>
    </r>
    <r>
      <rPr>
        <b/>
        <sz val="10"/>
        <color theme="1"/>
        <rFont val="Arial"/>
      </rPr>
      <t>because:</t>
    </r>
    <r>
      <rPr>
        <sz val="10"/>
        <color theme="1"/>
        <rFont val="Arial"/>
      </rPr>
      <t xml:space="preserve"> they often don’t have time to cook after commuting from work and end up relying on limited, tried-and-tested recipes that fit their children’s dietary restrictions, such as halal, vegetarian, dairy-free, or nut-free meals. With their busy schedules, they lack the time to explore new options, limiting child-friendly meals that are simple, nutritious, allergy-safe, and appealing.
</t>
    </r>
    <r>
      <rPr>
        <b/>
        <sz val="10"/>
        <color theme="1"/>
        <rFont val="Arial"/>
      </rPr>
      <t>This is important because: i</t>
    </r>
    <r>
      <rPr>
        <sz val="10"/>
        <color theme="1"/>
        <rFont val="Arial"/>
      </rPr>
      <t>t leads to repetitive, boring meals, causing children to lose interest in eating well, which affects both their nutrition and meal enjoyment.</t>
    </r>
  </si>
  <si>
    <r>
      <rPr>
        <b/>
        <sz val="10"/>
        <color theme="1"/>
        <rFont val="Arial"/>
      </rPr>
      <t xml:space="preserve">Problem Statement
What's good:
</t>
    </r>
    <r>
      <rPr>
        <sz val="10"/>
        <color theme="1"/>
        <rFont val="Arial"/>
      </rPr>
      <t xml:space="preserve">✓ </t>
    </r>
    <r>
      <rPr>
        <b/>
        <sz val="10"/>
        <color theme="1"/>
        <rFont val="Arial"/>
      </rPr>
      <t>Target users</t>
    </r>
    <r>
      <rPr>
        <sz val="10"/>
        <color theme="1"/>
        <rFont val="Arial"/>
      </rPr>
      <t xml:space="preserve"> clear (working parents with infants or toddlers who need constant attention and stimulation)
</t>
    </r>
    <r>
      <rPr>
        <sz val="10"/>
        <color rgb="FFA64D79"/>
        <rFont val="Arial"/>
      </rPr>
      <t xml:space="preserve">Are target users based in Singapore? </t>
    </r>
    <r>
      <rPr>
        <sz val="10"/>
        <color theme="1"/>
        <rFont val="Arial"/>
      </rPr>
      <t xml:space="preserve">
✓</t>
    </r>
    <r>
      <rPr>
        <b/>
        <sz val="10"/>
        <color theme="1"/>
        <rFont val="Arial"/>
      </rPr>
      <t xml:space="preserve"> Pain points</t>
    </r>
    <r>
      <rPr>
        <sz val="10"/>
        <color theme="1"/>
        <rFont val="Arial"/>
      </rPr>
      <t xml:space="preserve"> clear (limited time and energy to engage children consistently, balancing work and personal time with children's developmental needs)
✓ </t>
    </r>
    <r>
      <rPr>
        <b/>
        <sz val="10"/>
        <color theme="1"/>
        <rFont val="Arial"/>
      </rPr>
      <t xml:space="preserve">Consequences </t>
    </r>
    <r>
      <rPr>
        <sz val="10"/>
        <color theme="1"/>
        <rFont val="Arial"/>
      </rPr>
      <t xml:space="preserve">clear (risk of missed cognitive developmental opportunities for children, reliance on imperfect alternatives like childcare, helpers, or screens)
✓ </t>
    </r>
    <r>
      <rPr>
        <b/>
        <sz val="10"/>
        <color theme="1"/>
        <rFont val="Arial"/>
      </rPr>
      <t>Problem depth is appropriate</t>
    </r>
    <r>
      <rPr>
        <sz val="10"/>
        <color theme="1"/>
        <rFont val="Arial"/>
      </rPr>
      <t xml:space="preserve"> with good context on the importance of language exposure and cognitive development, showing the long-term implications for children.
</t>
    </r>
    <r>
      <rPr>
        <b/>
        <sz val="10"/>
        <color theme="1"/>
        <rFont val="Arial"/>
      </rPr>
      <t xml:space="preserve">Can be better:
</t>
    </r>
    <r>
      <rPr>
        <sz val="10"/>
        <color theme="1"/>
        <rFont val="Arial"/>
      </rPr>
      <t xml:space="preserve">- </t>
    </r>
    <r>
      <rPr>
        <b/>
        <sz val="10"/>
        <color theme="1"/>
        <rFont val="Arial"/>
      </rPr>
      <t>Be more concise</t>
    </r>
    <r>
      <rPr>
        <sz val="10"/>
        <color theme="1"/>
        <rFont val="Arial"/>
      </rPr>
      <t xml:space="preserve"> by paraphrasing into problem statement format
</t>
    </r>
    <r>
      <rPr>
        <b/>
        <sz val="10"/>
        <color theme="1"/>
        <rFont val="Arial"/>
      </rPr>
      <t xml:space="preserve">[Background context] </t>
    </r>
    <r>
      <rPr>
        <sz val="10"/>
        <color theme="1"/>
        <rFont val="Arial"/>
      </rPr>
      <t xml:space="preserve">This causes problem for: [user group]
</t>
    </r>
    <r>
      <rPr>
        <b/>
        <sz val="10"/>
        <color theme="1"/>
        <rFont val="Arial"/>
      </rPr>
      <t>because:</t>
    </r>
    <r>
      <rPr>
        <sz val="10"/>
        <color theme="1"/>
        <rFont val="Arial"/>
      </rPr>
      <t xml:space="preserve"> [how or why it affects the user]
</t>
    </r>
    <r>
      <rPr>
        <b/>
        <sz val="10"/>
        <color theme="1"/>
        <rFont val="Arial"/>
      </rPr>
      <t xml:space="preserve">This is important because: </t>
    </r>
    <r>
      <rPr>
        <sz val="10"/>
        <color theme="1"/>
        <rFont val="Arial"/>
      </rPr>
      <t xml:space="preserve">[impact of problem]
--
</t>
    </r>
    <r>
      <rPr>
        <b/>
        <sz val="10"/>
        <color theme="1"/>
        <rFont val="Arial"/>
      </rPr>
      <t xml:space="preserve">Proposed solution:
</t>
    </r>
    <r>
      <rPr>
        <sz val="10"/>
        <color theme="1"/>
        <rFont val="Arial"/>
      </rPr>
      <t>- Language: Is it in English?</t>
    </r>
  </si>
  <si>
    <t>A. Evaluation of Problem Statement</t>
  </si>
  <si>
    <t>B. Evaluation of Product Suitability</t>
  </si>
  <si>
    <t>D. Technical Requirements Met?</t>
  </si>
  <si>
    <t>Programme Quiz Results</t>
  </si>
  <si>
    <t>3. App is Functioning as Intended?</t>
  </si>
  <si>
    <t>1. HTML</t>
  </si>
  <si>
    <t>2. CSS</t>
  </si>
  <si>
    <t>3. Javascript</t>
  </si>
  <si>
    <t>4. Live, with a custom domain name?</t>
  </si>
  <si>
    <t>5. Connected to Google Analytics</t>
  </si>
  <si>
    <t>5th Nov</t>
  </si>
  <si>
    <t>Finance</t>
  </si>
  <si>
    <r>
      <rPr>
        <sz val="10"/>
        <color theme="1"/>
        <rFont val="Arial"/>
      </rPr>
      <t xml:space="preserve">✓ </t>
    </r>
    <r>
      <rPr>
        <b/>
        <sz val="10"/>
        <color theme="1"/>
        <rFont val="Arial"/>
      </rPr>
      <t>Target users</t>
    </r>
    <r>
      <rPr>
        <sz val="10"/>
        <color theme="1"/>
        <rFont val="Arial"/>
      </rPr>
      <t xml:space="preserve"> clear (group buy organizers managing campaigns via group chat)
✓</t>
    </r>
    <r>
      <rPr>
        <b/>
        <sz val="10"/>
        <color theme="1"/>
        <rFont val="Arial"/>
      </rPr>
      <t xml:space="preserve"> Pain points</t>
    </r>
    <r>
      <rPr>
        <sz val="10"/>
        <color theme="1"/>
        <rFont val="Arial"/>
      </rPr>
      <t xml:space="preserve"> clear (manual effort needed for managing orders, acknowledging, aggregating, and coordinating delivery and payments)
✓ </t>
    </r>
    <r>
      <rPr>
        <b/>
        <sz val="10"/>
        <color theme="1"/>
        <rFont val="Arial"/>
      </rPr>
      <t>Consequences</t>
    </r>
    <r>
      <rPr>
        <sz val="10"/>
        <color theme="1"/>
        <rFont val="Arial"/>
      </rPr>
      <t xml:space="preserve"> clear (inefficient workflow, increased workload, risk of errors)
✓</t>
    </r>
    <r>
      <rPr>
        <b/>
        <sz val="10"/>
        <color theme="1"/>
        <rFont val="Arial"/>
      </rPr>
      <t xml:space="preserve"> Problem depth</t>
    </r>
    <r>
      <rPr>
        <sz val="10"/>
        <color theme="1"/>
        <rFont val="Arial"/>
      </rPr>
      <t xml:space="preserve"> appropriate with good context on the workflow challenges that are specific to group buy organizers
✓ </t>
    </r>
    <r>
      <rPr>
        <b/>
        <sz val="10"/>
        <color theme="1"/>
        <rFont val="Arial"/>
      </rPr>
      <t>Concise
Can be better:
Target users:</t>
    </r>
    <r>
      <rPr>
        <sz val="10"/>
        <color theme="1"/>
        <rFont val="Arial"/>
      </rPr>
      <t xml:space="preserve"> Is it based in Singapore?</t>
    </r>
  </si>
  <si>
    <t>oop</t>
  </si>
  <si>
    <t>Sports</t>
  </si>
  <si>
    <r>
      <rPr>
        <sz val="10"/>
        <color theme="1"/>
        <rFont val="Arial"/>
      </rPr>
      <t xml:space="preserve">Problem statement is generally clear, depth is appropriate.
what's good: clear user and pain-point, clear hypothesis of consequence (hard to find new routes = less motivation).
</t>
    </r>
    <r>
      <rPr>
        <i/>
        <sz val="10"/>
        <color theme="1"/>
        <rFont val="Arial"/>
      </rPr>
      <t xml:space="preserve">sidenote: clarity of hypothesis ≠ it is the right problem to solve. it just means you have a clear hypothesis to test :)
</t>
    </r>
  </si>
  <si>
    <t>From the interview convos I had, the pain point/use case pointed more towards having to source for these routes on weekends (as it afforded more time) and when with a jogging companion (it was a reason to catch up over a common interest). Users on their own were mostly ok to be jogging their usual routes otherwise on a weekday.
As to features that mattered to the users in the web app, there were suggestions to include café points (locations where jogging friends could eventually end up after their jog), and other fun facts pertaining to often-seen birds/animals along these routes. 
For the existing indicators, it was shared that it would be helpful if web app allows for filtering by more than one indicator. Area (which part of Singapore), distance and shelter were mentioned as the more crucial indicators.</t>
  </si>
  <si>
    <t xml:space="preserve">Will find a way to include descriptors that provide users with some info about the chosen route (animals sighted before, cafe points, etc.).
Cut on existing indicators (there were 5) to filter by. Some of these could be included in the description instead after filtering. </t>
  </si>
  <si>
    <t>Jogging enthusiasts find it difficult to source for new jog-friendly routes on weekends, with their jogging companions. This is especially so if it was a scheduled routine (eg. on a monthly basis). It can take considerable effort to source for alternative jogging routes suited to the joggers’ preferences.</t>
  </si>
  <si>
    <t>Web app provides suggestions for jogging routes based on indicators selected by user. As this primarily targets users who are jogging with their fellow companions on weekends, upon filtering, within suggested page, it also provides information on interesting sights (e.g. animals) to look out for, and where to stop for a drink/meal post-jog.</t>
  </si>
  <si>
    <t>Littletrails!</t>
  </si>
  <si>
    <t>https://littletrails.org</t>
  </si>
  <si>
    <t>Littletrails suggests jogging routes for jogging enthusiasts, according to their preference/needs (e.g. terrain, distance, amount of shelter).  Recognising that this primarily targets users who are jogging with their fellow companions on weekends, upon filtering, within suggested page, it would also provide information on interesting sights (e.g. animals) to look out for, and where to stop for a drink/meal post-jog.</t>
  </si>
  <si>
    <t xml:space="preserve">Tennis players aiming to improve their skills have to take time (average of 1-2 weeks) to sign up for permanent coaches who charges by 10-lessons package or ad hoc ones which will cost more and then to have fixed session. 
As a result, when player is free andf available, he may not be able to find a available coache to help sharpen his skills.
Assumption : Pricing would be expected to be higher as cpompared to 10-session package deal. </t>
  </si>
  <si>
    <t>Target users are tennis players seeking coaching services on short notice. 
Pain points : Unable to find available coaches on short notice
Consequence : Unable to find coach and thus cannot have the training session to improve his skills</t>
  </si>
  <si>
    <t>Clearer target users and pain point so as to develop tyhe web app to address the issues</t>
  </si>
  <si>
    <t>Tennis players who wants to improve 
his/her skills find difficulty in booking a 
tennis coach on short notice for a quick 
1 hour session.</t>
  </si>
  <si>
    <t xml:space="preserve">App will provide tennis player ability to scroll through available tennis coach that is able to provide the coaching session with details of date, time, venue, price and testimonial of his coaching experience. App will also provide option for online payment . There will also be a column for tennis player to describe his tennis lesson expectations e.g need help in forehand strokes etc. And lastly a Feedback column after the lesson on the user experience of the coaching session. </t>
  </si>
  <si>
    <t>Fing-My-Coach</t>
  </si>
  <si>
    <t>https://tennis-for-life.com/</t>
  </si>
  <si>
    <t xml:space="preserve">Find-My-Coach app allows tennis players who wants to sharpen their skills on a last minute basis and need to find an available coach. Assumption includes the tennis court availabity and price is not an issue.  </t>
  </si>
  <si>
    <t>Work</t>
  </si>
  <si>
    <t>Office workers in CBD often need to commute between their home and workplace during certain peak hours on working days. This results in overcrowding of certain places, e.g. CBD areas, public transport, because workers start and end work about the same time.</t>
  </si>
  <si>
    <t xml:space="preserve">Chatted with my team members, most have experienced 'crowdedness' during rush hours. The experience was bad when there were fault/delay in our public transport systems, resulting in people feeling stress out of concern that they may be late for work. 
Most welcome the idea of working at satellite/co-work office near them beside WFH, and find it handy to have a app that can guide them to available co-work offices.
Some questions gathered: how do we address work scenarios: co-workers who need to meet up for physical discussion but don't live near to each others, big group physical meetings.   </t>
  </si>
  <si>
    <t xml:space="preserve">1) Potentially, the app can optimise and recommend a co-work office that is convenient for few co-workers who need to meet physically. But, I think this is more advanced feature for subsequent MVP, as we need to first show the current MVP is providing value.
2) For big group meetings, it is out-of-scope for this app to address. Likely for big group meetings will still have to take place in the primary office. </t>
  </si>
  <si>
    <t xml:space="preserve">Office workers in popular business areas (CBD, Jurong East, ...) often need to bear with the various inconveniences, e.g. crowded public transport, road congestion, of the rush hours. The experience is especially bad whenever there is delay/fault in our public transport systems, causing people to turn out late for work/meeting or reach home late. While most companies have some forms of flex start work hours and WFH arrangement, the issue with rush hour commuting is not generally better. </t>
  </si>
  <si>
    <t xml:space="preserve">A web app that recommends and guides workers to co-work offices (shared office facilities, assumed this is already in place) available through the island. Not only does it reduce overcrowding issues in our popular business districts or congested public transport during rush hours, but it could potentially encourage people to use greener mode of transport (cycling, walking) to work, thereby leading a more active life as well. The web app will recommend co-work offices near the user's current location and show the route to get there on a Google Map.  </t>
  </si>
  <si>
    <t>SG Co-Working Office Finder</t>
  </si>
  <si>
    <t>https://www.sgcoofficefinder.com/</t>
  </si>
  <si>
    <r>
      <rPr>
        <sz val="10"/>
        <color theme="1"/>
        <rFont val="Arial"/>
      </rPr>
      <t xml:space="preserve">This web application provides personalized recommendations and guidance for users seeking co-working offices in their vicinity. By alleviating overcrowding in popular business districts and reducing congestion on public transport during peak hours, it promotes a more sustainable commuting experience. Additionally, it encourages users to adopt active transportation options, such as cycling and walking, fostering a healthier lifestyle.
Key Features:
</t>
    </r>
    <r>
      <rPr>
        <b/>
        <sz val="10"/>
        <color theme="1"/>
        <rFont val="Arial"/>
      </rPr>
      <t>Flexible Access:</t>
    </r>
    <r>
      <rPr>
        <sz val="10"/>
        <color theme="1"/>
        <rFont val="Arial"/>
      </rPr>
      <t xml:space="preserve"> The app supports both anonymous browsing and authenticated access through Google Sign-In.
</t>
    </r>
    <r>
      <rPr>
        <b/>
        <sz val="10"/>
        <color theme="1"/>
        <rFont val="Arial"/>
      </rPr>
      <t>Personalized Recommendations:</t>
    </r>
    <r>
      <rPr>
        <sz val="10"/>
        <color theme="1"/>
        <rFont val="Arial"/>
      </rPr>
      <t xml:space="preserve"> For signed-in users, the app offers the option to provide basic information (optional), such as home address, primary office address, and preferred mode of transport. This data helps tailor recommendations to meet individual needs.
</t>
    </r>
    <r>
      <rPr>
        <b/>
        <sz val="10"/>
        <color theme="1"/>
        <rFont val="Arial"/>
      </rPr>
      <t>Co-Working Office Discovery:</t>
    </r>
    <r>
      <rPr>
        <sz val="10"/>
        <color theme="1"/>
        <rFont val="Arial"/>
      </rPr>
      <t xml:space="preserve"> Users can browse a list of nearby co-working offices, which can be sorted by either distance or estimated travel time from their current location or an entered address.
</t>
    </r>
    <r>
      <rPr>
        <b/>
        <sz val="10"/>
        <color theme="1"/>
        <rFont val="Arial"/>
      </rPr>
      <t>Interactive Mapping:</t>
    </r>
    <r>
      <rPr>
        <sz val="10"/>
        <color theme="1"/>
        <rFont val="Arial"/>
      </rPr>
      <t xml:space="preserve"> The application displays the user’s current location and outlines the route to their selected co-working office using Google Maps, ensuring an easy navigation experience.
</t>
    </r>
    <r>
      <rPr>
        <b/>
        <sz val="10"/>
        <color theme="1"/>
        <rFont val="Arial"/>
      </rPr>
      <t>Weather Insights:</t>
    </r>
    <r>
      <rPr>
        <sz val="10"/>
        <color theme="1"/>
        <rFont val="Arial"/>
      </rPr>
      <t xml:space="preserve"> Users receive real-time weather forecasts and temperature data sourced from the NEA 24-Hour Weather Forecast API. This information assists users in making informed decisions regarding their mode of transportation.
</t>
    </r>
    <r>
      <rPr>
        <b/>
        <sz val="10"/>
        <color theme="1"/>
        <rFont val="Arial"/>
      </rPr>
      <t>Time-Saving Alerts:</t>
    </r>
    <r>
      <rPr>
        <sz val="10"/>
        <color theme="1"/>
        <rFont val="Arial"/>
      </rPr>
      <t xml:space="preserve"> The app highlights potential time savings when opting for co-working offices closer than their primary workplace, along with emphasizing the benefits of alternative transportation methods like cycling.</t>
    </r>
  </si>
  <si>
    <r>
      <rPr>
        <sz val="10"/>
        <color theme="1"/>
        <rFont val="Arial"/>
      </rPr>
      <t xml:space="preserve">Consider elaborating on the consequences of the problem
</t>
    </r>
    <r>
      <rPr>
        <b/>
        <u/>
        <sz val="10"/>
        <color theme="1"/>
        <rFont val="Arial"/>
      </rPr>
      <t xml:space="preserve">Problem statement
</t>
    </r>
    <r>
      <rPr>
        <sz val="10"/>
        <color theme="1"/>
        <rFont val="Arial"/>
      </rPr>
      <t xml:space="preserve">
👍 Impact/what: Discouraged to try new sports
👍 Why: Cost of equipment
🤔Avoid stating the solution (people can rent or share) in the problem statement
</t>
    </r>
    <r>
      <rPr>
        <b/>
        <sz val="10"/>
        <color theme="1"/>
        <rFont val="Arial"/>
      </rPr>
      <t>Considerations for improvements</t>
    </r>
    <r>
      <rPr>
        <sz val="10"/>
        <color theme="1"/>
        <rFont val="Arial"/>
      </rPr>
      <t xml:space="preserve">
Users:
🧠There are 2 groups of people here: People trying new sports and people who have equipment. Focus on one group to clearly define your target.
🧠Who are the primary users interested in trying new sports? Are they beginners, casual enthusiasts, or people trying to explore multiple sports? What kind of people are they?
Action/what:
🧠What motivates these users to try new sports? Are they looking for fitness, social interaction, or new experiences?
Impact/what:
🧠Are there other consequences besides giving up on the activity, such as missing out on community engagement or potential health benefits?
Problem:
🧠Is the core problem the cost barrier for beginners?
🧠Are there additional obstacles besides cost that prevent people from trying new sports, such as time, accessibility, or skill level?
</t>
    </r>
    <r>
      <rPr>
        <b/>
        <u/>
        <sz val="10"/>
        <color theme="1"/>
        <rFont val="Arial"/>
      </rPr>
      <t xml:space="preserve">Solution
</t>
    </r>
    <r>
      <rPr>
        <sz val="10"/>
        <color theme="1"/>
        <rFont val="Arial"/>
      </rPr>
      <t>Assuming the root issue is the cost of equipment:
🤔Does this app truly provide a unique solution, or could other options (like community sports programs with shared equipment) address the problem in a simpler way?</t>
    </r>
    <r>
      <rPr>
        <b/>
        <u/>
        <sz val="10"/>
        <color theme="1"/>
        <rFont val="Arial"/>
      </rPr>
      <t xml:space="preserve">
</t>
    </r>
    <r>
      <rPr>
        <sz val="10"/>
        <color theme="1"/>
        <rFont val="Arial"/>
      </rPr>
      <t>🤔For those with unused equipment, is there sufficient motivation to rent or lend their gear? Are there other reasons (like sentimental attachment or lack of trust) that might prevent them from participating?</t>
    </r>
  </si>
  <si>
    <t>From the user interviews that I have gathered, the primary users are those who are casual enthusiasts that are simply interested in trying out multiple sports. As such, because of the lack of commitment to a sport, they find that a high barrier of entry to trying out the sport is the high cost of equipment and the wasted equipment that will be left unused if they do not like the sport in the end. Another barrier of entry is the lack of friends to play/guide them.
Additionally, I also found out that users are willing to rent equipment from strangers because it is at a lower price, however to also take note that there are concerns of location pick-ups/returns, and damage to the stranger's equipment. For the renters, they are usually inclined to rent out their equipment because of the extra income.</t>
  </si>
  <si>
    <t>To expand my app further to not only allow casual sports enthusiasts to rent equipment, but to also consider making friends with the renter and to play the sport together.</t>
  </si>
  <si>
    <t xml:space="preserve">Casual sports enthusiasts who want to pick up a new sport need to buy the necessary equipment at retail stores or online before taking up the sport, and find people to play/guide them in the sport. This results in delaying taking up the sport, or not even taking up the sport because they are discouraged by the cost of the equipment, and thought it would be a waste if they bought the equipment and decided that they did not like the sport. </t>
  </si>
  <si>
    <t xml:space="preserve">A web page where users can rent or borrow sports equipment, as well as make friends with the renter, lowering the cost of entry to try new sports e.g more affordable, reduce waste of unused gear. </t>
  </si>
  <si>
    <t>Sport On</t>
  </si>
  <si>
    <t>https://sporton.site/</t>
  </si>
  <si>
    <t xml:space="preserve">This web app allows casual sports enthusiasts who are exploring a new sport, to rent relevant equipment (not inclusive of wearable gear) from other people for a period of time, at a lower cost, and in their vicinity. Rental profiles include their listings, as well as ratings and testimonies from past exchanges, for users to gain an insight of the credibility of equipment owners. Users can also reach out to these owners (if they indicated in their profile) to play the sport together, addressing users' pain points of cost of equipment and lack of friends to play the sport together with. </t>
  </si>
  <si>
    <r>
      <rPr>
        <sz val="10"/>
        <color theme="1"/>
        <rFont val="Arial"/>
      </rPr>
      <t xml:space="preserve">Clearly defined.
</t>
    </r>
    <r>
      <rPr>
        <b/>
        <sz val="10"/>
        <color theme="1"/>
        <rFont val="Arial"/>
      </rPr>
      <t>Considerations for depth of problem statement</t>
    </r>
    <r>
      <rPr>
        <sz val="10"/>
        <color theme="1"/>
        <rFont val="Arial"/>
      </rPr>
      <t xml:space="preserve">
🤔Why do conservators rely on terms that are difficult for non-specialists to understand? Do conservators assume that other parties have a certain level of expertise or familiarity with these terms?
🤔Why is technical language used in condition reports? Is it necessary for accuracy, or could simpler language achieve the same purpose?
🤔Why are longer discussions are problematic? What are the consequences of longer discussions? For instance, does this delay impact scheduling, increase costs, or create tension between parties?
🤔Are non-specialists expected to review and understand these reports independently without guidance?
</t>
    </r>
    <r>
      <rPr>
        <b/>
        <sz val="10"/>
        <color theme="1"/>
        <rFont val="Arial"/>
      </rPr>
      <t xml:space="preserve">Some things to think about to refine solution
</t>
    </r>
    <r>
      <rPr>
        <sz val="10"/>
        <color theme="1"/>
        <rFont val="Arial"/>
      </rPr>
      <t>🧠Are there specific types of artefacts (e.g., paintings, textiles, sculptures) where non-specialists are more likely to encounter unfamiliar terms? Should the app focus on terms relevant to certain materials or types?
🧠Would the app only provide simplified definitions, or should it include additional details, like causes, potential preservation actions, or how each condition could impact the artefact’s value?
🧠Would it be useful to allow conservators to add custom notes or explanations for specific artefacts to give non-specialists a deeper understanding of unusual or unique conditions?
🧠Should the app include terms beyond condition issues, like conservation techniques or materials, to make it a more comprehensive resource for non-specialists?</t>
    </r>
  </si>
  <si>
    <t>Sent out email with brief of the project and wireframes to both conservators and non-specialists (curators and collection managers) to seek feedback on what features works and what else they would like to see. Received feedback from 3 conservators and 7 curators/collection managers, that cut across age groups.
Findings
1. Conservators found this useful not only when explaining to non-specialist colleagues, but also for training new staff/interns/volunteers.
2. Despite possibility of clutter, many preferred visual+brief description on the main page for ease of reference, though they acknowledged there will be clutter. They preferred option to see brief before clicking in for details.
3. Users expected it have mobile responsive design, likely as use cases would require checking as they are in discussions onsite while viewing the artefacts
4. Many suggestions for future expansion of the idea -- game to test knowledge, integration with image recognition to identify what are the issues, allow for crowdsourcing of similar images of condition</t>
  </si>
  <si>
    <t>1. Made refinement to problem statement to widen the user group.
2. With timeline, some of the suggested additional features include:
a. At details page, add more info like treatment options, more examples of images to show range of deterioration, what material it affects
b. allow for navigation by either condition term, or type of medium/material</t>
  </si>
  <si>
    <t xml:space="preserve">When describing the physical condition of heritage materials, conservators use specific technical terms to describe them, which are often unfamiliar to non-specialists such as collection managers, curators, or even interns and volunteers. This leads to additional discussions between both parties to reach the same baseline understanding before coming to mutual agreement on the next steps for these artefacts, which may lead to delays and potential tensions between parties. </t>
  </si>
  <si>
    <t>Conservation Compendium -- A web app that provides a convenient reference guide for non-specialists to help provide a visual and basic definition to condition terms, and also additional information like what materials these conditions affect, what treatment options are commonly available or what precautions should one take.</t>
  </si>
  <si>
    <t>Conservation Compendium</t>
  </si>
  <si>
    <t>https://conservationcompendium.com/</t>
  </si>
  <si>
    <t>A mobile responsive web app that provides a quick visual reference for non-specialists to find out more about condition terms. It contains basic definitions, allows filtering by material type, and contains detailed pages including visuals and additional information like what treatment options are commonly available or what precautions should be taken.</t>
  </si>
  <si>
    <t>Education</t>
  </si>
  <si>
    <r>
      <rPr>
        <b/>
        <sz val="10"/>
        <color theme="1"/>
        <rFont val="Arial"/>
      </rPr>
      <t xml:space="preserve">What's good:
</t>
    </r>
    <r>
      <rPr>
        <sz val="10"/>
        <color theme="1"/>
        <rFont val="Arial"/>
      </rPr>
      <t xml:space="preserve">✓ Target users clear (attendees at a talk who feel hesitant to ask questions openly)
✓ Pain points clear (attendees want an option to ask questions anonymously due to discomfort in asking live)
✓ Consequences unclear (implied but could be stronger. Right now, the inconvenience is clear but the lack of engagement or missed opportunity to clarify topics could be added)
✓ Problem depth could be improved and expanded to show why anonymity is valuable in live event context, and why timely responses matter
</t>
    </r>
    <r>
      <rPr>
        <b/>
        <sz val="10"/>
        <color theme="1"/>
        <rFont val="Arial"/>
      </rPr>
      <t xml:space="preserve">Could be better:
Problem statement could emphasise why anonymous submissions are critical (e.g., attendees may worry about judgment from peers or the speaker). It could also clarify why timely responses are important—for instance, to reinforce learning or address misunderstandings directly related to the talk’s content.
</t>
    </r>
    <r>
      <rPr>
        <sz val="10"/>
        <color theme="1"/>
        <rFont val="Arial"/>
      </rPr>
      <t xml:space="preserve">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[Background context]</t>
    </r>
    <r>
      <rPr>
        <sz val="10"/>
        <color theme="1"/>
        <rFont val="Arial"/>
      </rPr>
      <t xml:space="preserve"> Attendees at talks often hesitate to ask questions publicly, either due to fear of judgment or reluctance to speak in front of a large group. This hesitation can result in missed opportunities for clarification and can hinder overall engagement.
</t>
    </r>
    <r>
      <rPr>
        <b/>
        <sz val="10"/>
        <color theme="1"/>
        <rFont val="Arial"/>
      </rPr>
      <t>This causes problems for:</t>
    </r>
    <r>
      <rPr>
        <sz val="10"/>
        <color theme="1"/>
        <rFont val="Arial"/>
      </rPr>
      <t xml:space="preserve"> Attendees who leave talks with unresolved questions, as well as for speakers who miss valuable feedback and insight into attendee needs.
</t>
    </r>
    <r>
      <rPr>
        <b/>
        <sz val="10"/>
        <color theme="1"/>
        <rFont val="Arial"/>
      </rPr>
      <t>This is important because:</t>
    </r>
    <r>
      <rPr>
        <sz val="10"/>
        <color theme="1"/>
        <rFont val="Arial"/>
      </rPr>
      <t xml:space="preserve"> A solution that enables anonymous question submissions and ensures timely responses allows for a more interactive experience, supporting attendees’ learning and helping speakers tailor responses effectively.
--
</t>
    </r>
    <r>
      <rPr>
        <b/>
        <sz val="10"/>
        <color theme="1"/>
        <rFont val="Arial"/>
      </rPr>
      <t xml:space="preserve">Questions to consider for proposed solution:
</t>
    </r>
    <r>
      <rPr>
        <sz val="10"/>
        <color theme="1"/>
        <rFont val="Arial"/>
      </rPr>
      <t xml:space="preserve">- How else can attendees access this anonymous question submission tool during the talk (e.g., mobile app, website link, QR code)?
- Should there be a voting or prioritization feature to help organizers identify popular questions?
- How will the solution handle follow-up responses and make answers accessible afterward?
</t>
    </r>
    <r>
      <rPr>
        <b/>
        <sz val="10"/>
        <color theme="1"/>
        <rFont val="Arial"/>
      </rPr>
      <t xml:space="preserve">Potential Challenges: 
</t>
    </r>
    <r>
      <rPr>
        <sz val="10"/>
        <color theme="1"/>
        <rFont val="Arial"/>
      </rPr>
      <t>- Handling a high volume of questions during live events, including prioritizing questions to be answered first
- Maintaining the anonymity of questions while still providing a means for follow-up, particularly if the attendee wants a personalized response.</t>
    </r>
  </si>
  <si>
    <t>Ability to offer large font size or increase font size
Use bold dark fonts, clear non cursive text on using white background rather than dark mode - so it is easy to read
Making this free or charging pay per use nominally - SGD$5 or less for each event for 24hours - where Questions can be submitted and organiser have to answer questions during this period. This encourages use, as there are other platforms that requires annual subscription that cost $10 per month.</t>
  </si>
  <si>
    <t>Using Arial with bold black font, 12 font size on white background</t>
  </si>
  <si>
    <t>[Background context] Attendees at talks often hesitate to ask questions publicly, either due to fear of judgment or reluctance to speak in front of a large group. The same doubts can be faced by other attendees and clarification benefits all.
Current available platforms charge monthly or annual subscription fees instead of pay per use with full features.
This causes problems for: Attendees will find talks one sided that does not contain additional perspectives, does not encourage participation to make it relevant to them. Speakers will miss valuable feedback and insight into attendee needs.
Using subscription fees does not address user needs and events are held infrequently often once in many months, leading to payments in unused months.</t>
  </si>
  <si>
    <t>This is important because: A solution that enables anonymous question submissions and ensures timely responses allows for a more interactive experience, supporting attendees’ learning and helping speakers tailor responses effectively.
Questions to consider for proposed solution:
How else can attendees access this anonymous question submission tool during the talk?
Entering 6 digit code via website on mobile app, handheld device or laptop.
Should there be a voting or prioritization feature to help organizers identify popular questions?
This can be in version 2
How will the solution handle follow-up responses and make answers accessible afterward?
Organiser can login and have edit access to answer questions within 24hours from start of event. Organisers cannot edit questions. Same website link and 6 digit code with questions and offline answers will be available read only, for 30 days
Version 2 of website app will offer login using email address that is associated to first and last name so submitted questions can be associated to name.</t>
  </si>
  <si>
    <t>Interact</t>
  </si>
  <si>
    <r>
      <rPr>
        <u/>
        <sz val="10"/>
        <color rgb="FF1155CC"/>
        <rFont val="Arial"/>
      </rPr>
      <t>https://angelawph.com/</t>
    </r>
    <r>
      <rPr>
        <sz val="10"/>
        <color rgb="FF000000"/>
        <rFont val="Arial"/>
        <scheme val="minor"/>
      </rPr>
      <t xml:space="preserve">
https://www.angelawph.com/</t>
    </r>
  </si>
  <si>
    <t>Website for participant to submit anonymous question based on listed events or event name that was previously created.
Participant can upvote submitted questions.
Speaker can select checkbox which greys out the answered question
Speaker can select Answer offline which greys out the answered question</t>
  </si>
  <si>
    <t xml:space="preserve">Problem1: Novice runners struggle to pace themselves, leading to fatigue, injuries, and loss of motivation.
Problem2: Novice runners often lack motivation and accountability, especially when training alone.
</t>
  </si>
  <si>
    <t>1. User Distraction: Frequent app/watch checks disrupt the running experience; however, users worry about missing their pace/zone without checking.
2. Static Prompts: Current fitness app prompts feel robotic; users want more dynamic, personalized, real-time dynamic guidance.
3. Interest in Heart Rate Zones: Learning about heart rate zones is refreshing for users, suggesting an educational opportunity. However, not all users have heart rate monitors, impacting full app use.
4. Feedback from Serious Runners: Some advanced runners see GPS and heart rate features on existing devices as sufficient.</t>
  </si>
  <si>
    <t>1. Heart Rate Guide: Create a 1-page primer on heart rate zones and training benefits. 
2. Dynamic Guidance: Focus on real-time, personalized prompts for engaging workout feedback.</t>
  </si>
  <si>
    <t>Novice runners when training alone, struggle to pace ourselves. This leads to fatigue, injury and loss of motivation.</t>
  </si>
  <si>
    <t xml:space="preserve">Similar as mentioned (Col F) + Heart Rate Guide: Create a 1-page primer on heart rate zones and training benefits. </t>
  </si>
  <si>
    <t>RunBuddy</t>
  </si>
  <si>
    <t>runbuddy.run</t>
  </si>
  <si>
    <t xml:space="preserve">1. I spoke to fellow colleagues who are parents and they validated my inital assumptions about the problem statement, i.e. run out of ideas for activities for their children, last minute scramble for activities, and making a decision on what to do. While they had the usual go-to activities, e.g. swimming, colouring, they were open to other suggestions. While listicles were useful, it could be a hassle to read, i.e. wants to get a recommendation easily rather than running through lists and identifying an activity. 
2. Colleagues suggested that it would be useful to have suggestions on indoor and outdoor activities, and paid and free activities. 
3. Colleagues suggested that activities could be grouped according to ages so that relevant activities can be identified for their children who fall into different age groups. </t>
  </si>
  <si>
    <t xml:space="preserve">1. Provide options for indoor and outdoor activities.
2. Provide options for paid and free activities. 
3. Provide options to list activities according to age groups. </t>
  </si>
  <si>
    <t>Parents planning for activities for their children often have to come up with new places/ideas to bring their children to. While listicles/social media/newsletters are useful, this often results in endless scrolling as the list of recommendations can be long. This results in a decision fatigue or a last minute scramble for activities suitable for their children as parents run out of ideas.</t>
  </si>
  <si>
    <t>The web app seeks to provide recommendation for parents on activities or places to go to during the weekend. It will provide options for (i) indoor/outdoor activities, (ii) paid/free activities, and (iii) provide options to list activities according to age groups.</t>
  </si>
  <si>
    <t>Weekend do what?</t>
  </si>
  <si>
    <t>weekend-do-what.org</t>
  </si>
  <si>
    <t xml:space="preserve">The web app provides recommendations of activities to do with kids. It can be filtered according to (a) age group, (b) activity type (indoor/outdoor), and (c) cost (free/paid). The activity provides a clickable link to a recommendation. </t>
  </si>
  <si>
    <t>Social Needs</t>
  </si>
  <si>
    <t>Primary problem statement : User flow is difficult to navigate. (Am still searching for viable method to prove physical availabilty hence will park this aside.
1) Lacking of physical site map and location to inform of current location of users.
2) Upon chosing of designated seats, users were prompted to key in Name which is not intuitive.
3) The confirmation screen did not indicate duration not starting time of booked seat.</t>
  </si>
  <si>
    <t>I will changed out the following:
1) Collect and store FirstName for personalisation at Confirmation screen, and LastName, Email.
2) include actual image of location.</t>
  </si>
  <si>
    <t>Seniors finds booking seats in library difficult. The user flow to reach the end-goal of booking a seat consist of many steps. In time, they do not find library welcoming and might stop visiting.</t>
  </si>
  <si>
    <t>How else can attendees access this anonymous question submission tool during the talk?</t>
  </si>
  <si>
    <t>Book a Seat!</t>
  </si>
  <si>
    <t>www.bookaseat.org</t>
  </si>
  <si>
    <t>Simple steps for Seniors to book a seat.
Step 1 : Scan QR code on table.
Step 2: Complete simple details like FirstName, LastName, Email or Mobile number, so we personalise services (future roadmap) to you.
Last step: Choose seat.
"You have a seat confirmed for you at B2 location! Starting from hhmmss, you have 60mins!"
(Still working on the i)Open weather 3-hr endpoint API ii)Extend booking time iii)enlarged seatmap location, iv) procuring physical scanner for "Scan &amp; auto-book v)raspberry pi/jumper wire/resistor/redgreen LED light to indicate availability, etc. Hope to continue POC after this course.)</t>
  </si>
  <si>
    <t>1) I found users who share similar pain points to mine, which validated my initial assumptions about the problem statement: Pilates practitioners do find it difficult and time-consuming to choose the right video that meets their needs. The difficulty, however, is deeper and more specific than I initially thought. While users share some common pain points, they also have unique ones, many of which my platform can address.
2) I discovered that beginner users often struggle to find the right video. Although there are plenty of beginner-level videos available, they can still find certain exercises challenging if they exceed their current ability.
3) Intermediate to advanced users also sometimes need exercises that aren't overly difficult or tiring, especially when their energy levels are low.
4) I found that users’ moods can affect their video choice. For example, they may prefer calm instruction when feeling grumpy. Additionally, most users prefer videos with clear instructions so they don’t have to frequently look at the screen.
5) Male users don’t necessarily need to follow male instructors.</t>
  </si>
  <si>
    <t>1) I plan to be more specific when categorizing videos for beginners compared to intermediate and advanced practitioners. I might create subcategories like Beginner Level 1, 2, and 3.
2) For intermediate to advanced users, I’ll consider how to categorize focus areas for the day, so I can include less tiring workouts, like stretching routines, for these groups.
3) I may include "mood" as a sub-category that users can apply after their initial filtering.</t>
  </si>
  <si>
    <t xml:space="preserve">While YouTube offers a wide range of Pilates videos, practitioners who value quality instruction often spend unnecessary time sifting through options to find videos that fit their specific needs for the day. This time-consuming search can deter regular practice, especially for those seeking tailored content based on skill level, duration, and instructor style. </t>
  </si>
  <si>
    <r>
      <rPr>
        <sz val="10"/>
        <color theme="1"/>
        <rFont val="Arial"/>
      </rPr>
      <t xml:space="preserve">Singapore Sign Language (SgSL) is an essential skill for communicating with the Deaf community in Singapore, which unlike traditional languages, suffers from a lack of translation tools for new-learners.
</t>
    </r>
    <r>
      <rPr>
        <u/>
        <sz val="10"/>
        <color theme="1"/>
        <rFont val="Arial"/>
      </rPr>
      <t>People who wish to learn SgSL online</t>
    </r>
    <r>
      <rPr>
        <sz val="10"/>
        <color theme="1"/>
        <rFont val="Arial"/>
      </rPr>
      <t xml:space="preserve">, either for personal, educational, or professional reasons often find it very challanging to find resources online that are quick and easy to learn from, given SgSL resources are predominantly offline or tends to focus on archiving signs rather than making it easy to learn from. Resources seem mostly focused on helping experienced learners improve.
The lack of convenient, accessible, and intuitive centralized tools to learn SgSL makes it difficult for learners, especially those who are just getting started, which hurts the adoption rate of SgSL, even for the most willing learners. This creates artifical barriers to communicating with the Deaf community, hurting their overall wellbeing. </t>
    </r>
  </si>
  <si>
    <r>
      <rPr>
        <sz val="10"/>
        <color theme="1"/>
        <rFont val="Arial"/>
      </rPr>
      <t xml:space="preserve">Clear and demonstrates an understanding of the target users, their pain points, and the consequences. 
</t>
    </r>
    <r>
      <rPr>
        <b/>
        <sz val="10"/>
        <color theme="1"/>
        <rFont val="Arial"/>
      </rPr>
      <t xml:space="preserve">Considerations
</t>
    </r>
    <r>
      <rPr>
        <sz val="10"/>
        <color theme="1"/>
        <rFont val="Arial"/>
      </rPr>
      <t xml:space="preserve">🤔There are multiple problems highlighted in the Problem Statement:
1. Lack of online tools
2. Long and difficult to learn from online resources
3. Most online tools focused on helping learners improve instead of teaching new learners
4. Low adoption rate of SgSL
5. Wellbeing of Deaf community being hurt
Consider focusing on one problem and its impact to be concise. Based on your solution, it seems like you're focusing on point 3.
</t>
    </r>
  </si>
  <si>
    <r>
      <rPr>
        <sz val="10"/>
        <color theme="1"/>
        <rFont val="Arial"/>
      </rPr>
      <t xml:space="preserve">Spoke to an assorted variety of people who had tried to learn a little sign language (i.e. not professionally or formally - which is actually a lot of people) and many felt it was difficult to start learning without attending physical courses, and many had problems with accessibility of resources (resources locked behind attending in-person courses, not many tools online unlike other languages). </t>
    </r>
    <r>
      <rPr>
        <i/>
        <sz val="10"/>
        <color rgb="FF6D9EEB"/>
        <rFont val="Arial"/>
      </rPr>
      <t xml:space="preserve">[Problem more-or-less validated]
</t>
    </r>
    <r>
      <rPr>
        <sz val="10"/>
        <color theme="1"/>
        <rFont val="Arial"/>
      </rPr>
      <t>One particularly interesting note was that respondants were not too focused on wanting to comprehensivly learn all the terms, but wanted to get access to certain things that they had wanted to communicate in sign language (relatable, since we don't have too much time and memory)
Some also noted difficulties in following along for certain actions, as well as expressed a concern that learning resources might not be enough for certain learners (e.g. complex hand movements written as instructions may not be easy to follow, or may lead to users doing a different sign unknowingly). So textual instructions, while useful sometimes, should be accompanied by videos, and vice-versa, since video angle might miss out on some details)</t>
    </r>
  </si>
  <si>
    <t xml:space="preserve">Direction of making a quick and easy SgSL searching tool seems to be ideal, though the method by which output may need to be tested for effectiveness. Certain elements of textual instructions may be needed sometimes, but mainly videos/GIFs seem to be a good start. </t>
  </si>
  <si>
    <r>
      <rPr>
        <sz val="10"/>
        <color theme="1"/>
        <rFont val="Arial"/>
      </rPr>
      <t xml:space="preserve">Singapore Sign Language (SgSL) is an essential skill for communicating with the Deaf community in Singapore, which unlike traditional languages, suffers from a lack of translation tools for new-learners.
</t>
    </r>
    <r>
      <rPr>
        <b/>
        <sz val="10"/>
        <color theme="4"/>
        <rFont val="Arial"/>
      </rPr>
      <t>People who wish to learn SgSL online, either for personal, educational, or professional reasons often find it very challanging to find resources online that are quick and easy to learn from,</t>
    </r>
    <r>
      <rPr>
        <u/>
        <sz val="10"/>
        <color theme="1"/>
        <rFont val="Arial"/>
      </rPr>
      <t xml:space="preserve"> </t>
    </r>
    <r>
      <rPr>
        <sz val="10"/>
        <color theme="1"/>
        <rFont val="Arial"/>
      </rPr>
      <t xml:space="preserve">given SgSL resources are predominantly offline or tends to focus on archiving signs rather than making it easy to learn from. Resources seem mostly focused on helping experienced learners improve.
The lack of convenient, accessible, and intuitive centralized tools to learn SgSL makes it difficult for learners, especially those who are just getting started, which hurts the adoption rate of SgSL, even for the most willing learners. This creates artifical barriers to communicating with the Deaf community, hurting their overall wellbeing. </t>
    </r>
  </si>
  <si>
    <t>SG Sign Intro</t>
  </si>
  <si>
    <t>sgsignintro.com</t>
  </si>
  <si>
    <t>Users can type in the sentence that they want to learn the terms to and the GIF of the corresponding SgSL signs will appear on the bottom of the page.</t>
  </si>
  <si>
    <t>Meeting rooms in offices are always booked up completely, weeks ahead of time. It is almost impossible to find a room at the last minute, and not practical to keep watching out for available rooms days ahead of the meeting.
How might users know, and get an opportunity, to book meeting rooms that are truly available (e.g. were kiasu booked, or were released a short time before the meeting) such that meeting rooms are better utilised in offices?</t>
  </si>
  <si>
    <t>"WriggleRoom" helps office workers get a meeting room when they need it through freeing up unused meeting rooms by encouraging users to free up their unused meeting room bookings to meet demand, and to be responsible for their bookings.
To incentivise surplus rooms to be released to meet demand 
- 48 working hours before, allow users to put a 'room request' ("20 Nov 2-4pm", 5pax) into system.
- System whatsapp or TEAMS holder of rooms at that timeslot for them to choose to release room
- Room gets transferred to user, holder receives "points" based on time saved for users
To dis-incentivise users holding on to unoccupied room
- If user walks past a booked but unoccupied room, user scans room's QR code, and submit feedback that room isn't occupied
- Every 2 weeks, those who booked but did not utilise the room will be informed of their wastage, and encouraged to respond to requests in future.</t>
  </si>
  <si>
    <r>
      <rPr>
        <b/>
        <sz val="10"/>
        <color theme="1"/>
        <rFont val="Arial"/>
      </rPr>
      <t xml:space="preserve">What's good:
</t>
    </r>
    <r>
      <rPr>
        <sz val="10"/>
        <color theme="1"/>
        <rFont val="Arial"/>
      </rPr>
      <t xml:space="preserve">✓ Target users clear (office employees needing meeting rooms)
✓ Pain points clear (rooms are booked far in advance, last-minute bookings are nearly impossible, and monitoring room availability is impractical.)
✓ Consequences clear (nefficiency of meeting room usage and the inconvenience caused to employees who need last-minute bookings)
✓ Problem depth well-described, especially the frustration around "kiasu" (over-cautious) bookings and the lack of efficient booking opportunities.
</t>
    </r>
    <r>
      <rPr>
        <b/>
        <sz val="10"/>
        <color theme="1"/>
        <rFont val="Arial"/>
      </rPr>
      <t xml:space="preserve">Could be better:
Problem statement could emphasize the impact on productivity—how the inability to book rooms at short notice can disrupt workflows, reduce collaboration, or lead to unnecessary delays. It could also briefly address any existing systems and why they are not resolving this issue effectively.
</t>
    </r>
    <r>
      <rPr>
        <sz val="10"/>
        <color theme="1"/>
        <rFont val="Arial"/>
      </rPr>
      <t xml:space="preserve">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Office meeting rooms are often booked out weeks in advance, making it challenging for employees to find available rooms on short notice. While some rooms are booked in advance as a precaution (kiasu bookings) or released shortly before meetings, employees have no practical way of monitoring these last-minute openings.
</t>
    </r>
    <r>
      <rPr>
        <b/>
        <sz val="10"/>
        <color theme="1"/>
        <rFont val="Arial"/>
      </rPr>
      <t xml:space="preserve">This causes problem for: </t>
    </r>
    <r>
      <rPr>
        <sz val="10"/>
        <color theme="1"/>
        <rFont val="Arial"/>
      </rPr>
      <t xml:space="preserve">Employees who need to schedule impromptu meetings or have flexibility in booking rooms but are restricted by unavailable resources, leading to reduced collaboration opportunities and delays in work processes.
</t>
    </r>
    <r>
      <rPr>
        <b/>
        <sz val="10"/>
        <color theme="1"/>
        <rFont val="Arial"/>
      </rPr>
      <t>This is important because:</t>
    </r>
    <r>
      <rPr>
        <sz val="10"/>
        <color theme="1"/>
        <rFont val="Arial"/>
      </rPr>
      <t xml:space="preserve"> An efficient booking system that shows real-time availability and accommodates last-minute room releases can improve room utilisation, reduce frustration, and enable employees to conduct meetings more seamlessly.
--
</t>
    </r>
    <r>
      <rPr>
        <b/>
        <sz val="10"/>
        <color theme="1"/>
        <rFont val="Arial"/>
      </rPr>
      <t xml:space="preserve">Questions to consider for proposed solution:
</t>
    </r>
    <r>
      <rPr>
        <sz val="10"/>
        <color theme="1"/>
        <rFont val="Arial"/>
      </rPr>
      <t xml:space="preserve">-Could the solution provide real-time notifications or alerts for recently freed-up rooms?
How might it address “kiasu” booking behaviors to free up more rooms in advance?
-Would the system benefit from prioritising last-minute bookings for certain types of meetings (e.g., critical or cross-departmental)?
</t>
    </r>
    <r>
      <rPr>
        <b/>
        <sz val="10"/>
        <color theme="1"/>
        <rFont val="Arial"/>
      </rPr>
      <t xml:space="preserve">Potential Challenges: 
</t>
    </r>
    <r>
      <rPr>
        <sz val="10"/>
        <color theme="1"/>
        <rFont val="Arial"/>
      </rPr>
      <t>- Ensuring users consistently update room bookings (e.g., releasing rooms if plans change) to keep availability accurate.
- Encouraging employees to avoid “kiasu” bookings without affecting meeting preparedness.</t>
    </r>
  </si>
  <si>
    <t>Interviewed several users who make bookings for meetings. Majority make bookings once a week, usually 1 week ahead, but also often on adhoc-basis (i.e. on the dat before, or on the actual day)
Users feel the pain of not being able to find meeting rooms, successful maybe 1 out of every 10 times to book on the online booking system. Manually intervening by directly messaging the user who booked the room led to 1/3 success rate (i.e. able to negotiate a room swap upon messaging 1-3 users holding a suitable room).
In cases of unsuccessful booking, users hold the meeting at communal spaces, which are sub-optimal.
Users identified the main needs fo the meeting rooms are: whiteboard, AV equipment, and privacy and quietnessf or the discussion, particularly with external parties.
Users were unsure how the messaging system would work, and whether there is sufficient incentive for users to release their rooms. The current exception flow will be to book via the EAs, who have a network of EAs across the organisation who will barter trade rooms with one another.
Users liked the idea of reporting an empty room - but were not certain how frequent they will be doing this.
Users also suggested to "fine the user who booked but never used the room" as an alternative business rule</t>
  </si>
  <si>
    <t>Focus on solving the 'discovering available rooms' issue by messaging room holders, and incentivising them to release or counter-propose an available timing.</t>
  </si>
  <si>
    <t>Meeting rooms in offices are always booked up completely, weeks ahead of time. It is almost impossible to find a room one week ahead, or at the last minute, and not practical to keep watching out for available rooms days ahead of the meeting. Even with the popularity of virtual meetings, officers typically hold 2-3 meetings a week in the office, requiring a meeting room for its in-room benefits at least once a week (AV, whiteboard, private and condusive environment for deep discussions). It is also time-consuming and non-guaranteed to message and negotiate room holders to release their rooms.
How might users know, and get an opportunity, to book meeting rooms that are truly available (e.g. were kiasu booked, or were released a short time before the meeting) such that meeting rooms are better utilised in offices?</t>
  </si>
  <si>
    <t>WriggleRoom helps users search for a meeting room according to date, time range, and the number of attendees for the meeting, and if no rooms are available, broadcasts a request to users holding a suitable room.
A user receives a room booking request via SMS, opens the link to another page to view the request. Fulfilling the request will lead to the room being released to the requestor.</t>
  </si>
  <si>
    <t>Wriggleroom</t>
  </si>
  <si>
    <t>wriggleroom.work</t>
  </si>
  <si>
    <t>WriggleRoom helps users search for a meeting room according to date, time range, and the number of attendees for the meeting. It only works for 1 building for now, and assumes that every room has the same equipment, therefore the only variables to search for is the date time, and number of attendees.
If a room is available, an option is there for user to book. If it is not, the list of unavailable  rooms matching the requirements will be shown, and the user can broadcast a request to ask the users who booked the room if they would like to release the room.
An SMS is sent to the booking room holders, and they have options to accept the request and release the room to the requestor. Once request is accepted, the room booking is swapped to the requestor.
For each request fulfilled, the user who accepted the request gets 'appreciate you' points, and will climb up a leaderboard. For the requestors, their usage count goes up, and also appears on a different leaderboard.</t>
  </si>
  <si>
    <t>Food/ Drinks</t>
  </si>
  <si>
    <t>Dine</t>
  </si>
  <si>
    <t>0d9f16265acff458c150de8c461ce1cb</t>
  </si>
  <si>
    <t>Dine is a web app that helps users quickly find dining options based on location and dietary filters. Designed for busy individuals, its simple and mobile-optimized interface ensures a seamless experience, enabling users to make quick and informed meal decisions on the go.</t>
  </si>
  <si>
    <t xml:space="preserve">I interviewed three friends who were bubble tea connoisseurs. I kept the interview questions open-ended, so as to gain further insights from them. When asked what would be useful for them when it comes to a bubble tea directory. They shared that the directory should allow them to filter by the flavor, shop and prices. Two of them also shared that having a filter that allows them to filter by bubble tea that can be served warm would be useful, as there are certain days when they would prefer to have a drink that is served warm.Among the three of them, only one of them mentioned that  nutrigrade rating for each drink is a must have, while the others feel that it is not a compulsory feature, as they are aware that bubble tea are generally unhealthy and would usually be rated C or D. They also shared that they would usually think about what flavor to drink when they are on the go (I.e when commuting to work/home, or after lunch). As such, the app should be mobile-friendly. </t>
  </si>
  <si>
    <t xml:space="preserve">I would include filters to allow users to search by flavours, shops and prices. I would also need to ensure that the web app is compatible on mobile. </t>
  </si>
  <si>
    <r>
      <rPr>
        <sz val="10"/>
        <color theme="1"/>
        <rFont val="Arial"/>
      </rPr>
      <t xml:space="preserve">Bubble tea connoisseurs in Singapore can choose from a wide variety of flavours and shops, when it comes to their favourite drink. However, not all shops will display their menu and prices online, which leads to wasted time and frustration by going down to the shop to find out what's available. They are also less likely to support smaller local shops with unique flavours without an online presence, because it can be more tedious to </t>
    </r>
    <r>
      <rPr>
        <b/>
        <sz val="10"/>
        <color rgb="FF0000FF"/>
        <rFont val="Arial"/>
      </rPr>
      <t>check out the flavours and prices physically</t>
    </r>
    <r>
      <rPr>
        <sz val="10"/>
        <color theme="1"/>
        <rFont val="Arial"/>
      </rPr>
      <t xml:space="preserve">. </t>
    </r>
  </si>
  <si>
    <r>
      <rPr>
        <sz val="10"/>
        <color theme="1"/>
        <rFont val="Arial"/>
      </rPr>
      <t>The web app, BubbleTeaGoWhere, aims to help users search from a consolidated list of bubble tea drinks and its respective prices, across various shops in Singapore.</t>
    </r>
    <r>
      <rPr>
        <b/>
        <sz val="10"/>
        <color rgb="FF0000FF"/>
        <rFont val="Arial"/>
      </rPr>
      <t xml:space="preserve"> Users can also filter for the bubble tea drinks by flavor, temperature variation (i.e. served warm/cold), prices</t>
    </r>
    <r>
      <rPr>
        <sz val="10"/>
        <color theme="1"/>
        <rFont val="Arial"/>
      </rPr>
      <t xml:space="preserve"> and the bubble tea shop nearest to them, based on their postal code.</t>
    </r>
  </si>
  <si>
    <t>BubbleTeaGoWhere</t>
  </si>
  <si>
    <t>bubbleteagowhere.com</t>
  </si>
  <si>
    <t>BubbleTeaGoWhere is a directory for Bubble Tea Fans to look for their next drink in Singapore! Users can search from a consolidated list of drinks and its prices, as well as shops near them.</t>
  </si>
  <si>
    <t>When searching for homes, buyers often have to navigate multiple real estate platforms to find suitable listings to shortlist. However, there is no place for them to compare relevant metrics of different shortlisted properties from different platforms at a glance. This introduces friction into the home purchase process and could even cause the buyer to overlook listing attributes that might have a material impact on their house search. For example, a buyer could overlook a dealbreaker in a house, which could then result in them wasting their time visiting the house only to realise the dealbreaker then.</t>
  </si>
  <si>
    <t xml:space="preserve">I interviewed one other prospective home buyer and a property agent who creates house listing reports for his clients. 
Both stated that it was quite a manual process to compile comparative listing tables, though the pain points were magnified for the agent who had to compile many such reports for different clients. 
For the agent in particular, I deliberately kept the interview open-ended to ask about general pain points. The agent listed two main pain points: 1. that coordinating viewing timings with his clients and the counterparty agent was manual, time-consuming and required deploying a human PA to handle all the logistics, and 2. process of compiling comparative property reports for his clients for each viewing session was also manual and time-consuming, so much so that he'd stopped doing it due to lack of time, even though he wanted to. He independently mentioned that it would be good if he could find some way to easily generate a comparative report for different properties that was easily accessible from one page from different Propertyguru listings, as there was no native comparative function on that platform. Since this was my proposed solution, I took this as an independent verification of the problem statement and use case. I showed him the prototype then and the agent seemed quite enthusiastic about the experience after an explanation of how it was supposed to work. 
</t>
  </si>
  <si>
    <t xml:space="preserve">I would probably reframe the problem statement and solution slightly to focus on the agent as the primary user, since the solution would make a much larger difference for them, since they would have to generate many such reports for clients, as opposed to individual buyers who only have to generate reports for themselves.
I will also scope down the solution to focus only on propertyguru. According to the agent, propertyguru is the only real platform in use by agents. 99co is a clone, and the HDB resale portal is not natively accessible by third-party apps due to security restrictions. The agent confirmed that just being able to auto-generate comparative reports from propertyguru was likely to cover most use cases. </t>
  </si>
  <si>
    <t xml:space="preserve">When searching for homes, buyers and agents use platforms like PropertyGuru to find suitable properties to shortlist for viewing. For every viewing, agents will need to compile a comparative report of the different listings with relevant information as a guide for their clients when they go on their house visits, and for subsequent discussions. Doing so helps to enhance the agent's value proposition to the client, which leads to more subsequent client leads  
However, PropertyGuru has no native functionality for agents to easily generate such comparative reports. This means that agents must manually compile these reports for each client across multiple rounds of house viewings. This takes a great deal of effort and man-hours that could have been spent on other value-adding activities for the client, and may even cause some agents to forego this service. Without an easily-accessible comparison table, the buyer may then make sub-optimal home viewing or home purchase decisions, which reduces their quality of experience and will also affect the agent's reputation in the long run. 
</t>
  </si>
  <si>
    <t>How will the solution handle follow-up responses and make answers accessible afterward?</t>
  </si>
  <si>
    <t>Proper.ly</t>
  </si>
  <si>
    <t>https://properly.colinchan.co/</t>
  </si>
  <si>
    <t>Takes in up to 3 PropertyGuru listings, parses the html, then outputs a comparative listings report that can be saved as a pdf.</t>
  </si>
  <si>
    <r>
      <rPr>
        <b/>
        <sz val="10"/>
        <color theme="1"/>
        <rFont val="Arial"/>
      </rPr>
      <t>What's good:
✓ Pain points clear</t>
    </r>
    <r>
      <rPr>
        <sz val="10"/>
        <color theme="1"/>
        <rFont val="Arial"/>
      </rPr>
      <t xml:space="preserve"> (difficulty finding affordable options that fit their tastes)
</t>
    </r>
    <r>
      <rPr>
        <b/>
        <sz val="10"/>
        <color theme="1"/>
        <rFont val="Arial"/>
      </rPr>
      <t xml:space="preserve">✓ Consequences clear </t>
    </r>
    <r>
      <rPr>
        <sz val="10"/>
        <color theme="1"/>
        <rFont val="Arial"/>
      </rPr>
      <t xml:space="preserve">(may avoid dining out or overspend due to limited options)
</t>
    </r>
    <r>
      <rPr>
        <b/>
        <sz val="10"/>
        <color theme="1"/>
        <rFont val="Arial"/>
      </rPr>
      <t>✓ Problem depth appropriate</t>
    </r>
    <r>
      <rPr>
        <sz val="10"/>
        <color theme="1"/>
        <rFont val="Arial"/>
      </rPr>
      <t xml:space="preserve"> with a strong understanding of the market context (rising F&amp;B prices, need for value-for-money options tailored to this demographic’s lifestyle)
</t>
    </r>
    <r>
      <rPr>
        <b/>
        <sz val="10"/>
        <color theme="1"/>
        <rFont val="Arial"/>
      </rPr>
      <t>Can be better:
- Be more concise using problem statement format:</t>
    </r>
    <r>
      <rPr>
        <sz val="10"/>
        <color theme="1"/>
        <rFont val="Arial"/>
      </rPr>
      <t xml:space="preserve">
[Background context] This causes problem for: [user group]
because: [how or why it affects the user]
This is important because: [impact of problem on the user group]
</t>
    </r>
    <r>
      <rPr>
        <b/>
        <sz val="10"/>
        <color theme="1"/>
        <rFont val="Arial"/>
      </rPr>
      <t xml:space="preserve">- Be more specific on target user group: </t>
    </r>
    <r>
      <rPr>
        <sz val="10"/>
        <color rgb="FF674EA7"/>
        <rFont val="Arial"/>
      </rPr>
      <t xml:space="preserve">Example these groups below have different budget needs, choose 1 primary user group.
</t>
    </r>
    <r>
      <rPr>
        <sz val="10"/>
        <color theme="1"/>
        <rFont val="Arial"/>
      </rPr>
      <t xml:space="preserve">- Current solution focuses on bars/pubs, so the problem statement should specifically mention affordable bars/pubs rather than eateries.
</t>
    </r>
    <r>
      <rPr>
        <b/>
        <sz val="10"/>
        <color theme="1"/>
        <rFont val="Arial"/>
      </rPr>
      <t>Tertiary Students (Polytechnic/JC):</t>
    </r>
    <r>
      <rPr>
        <sz val="10"/>
        <color theme="1"/>
        <rFont val="Arial"/>
      </rPr>
      <t xml:space="preserve">
Ages 17-20
These students are typically on a budget and often look for affordable dining or socializing options that fit within their limited disposable income.
</t>
    </r>
    <r>
      <rPr>
        <b/>
        <sz val="10"/>
        <color theme="1"/>
        <rFont val="Arial"/>
      </rPr>
      <t>University Students:</t>
    </r>
    <r>
      <rPr>
        <sz val="10"/>
        <color theme="1"/>
        <rFont val="Arial"/>
      </rPr>
      <t xml:space="preserve">
Ages 19-24
University students may have slightly more disposable income, but still seek budget-friendly and trendy options for eating out and social gatherings due to student life constraints.
</t>
    </r>
    <r>
      <rPr>
        <b/>
        <sz val="10"/>
        <color theme="1"/>
        <rFont val="Arial"/>
      </rPr>
      <t>Young Working Adults (Early Career Gen Zs):</t>
    </r>
    <r>
      <rPr>
        <sz val="10"/>
        <color theme="1"/>
        <rFont val="Arial"/>
      </rPr>
      <t xml:space="preserve">
Ages 22-27
Recently entering the workforce, this group may have more financial flexibility than students but are often conscious of spending, especially in a high-cost city like Singapore. They look for affordable, social dining options that match their preferences.
</t>
    </r>
    <r>
      <rPr>
        <b/>
        <sz val="10"/>
        <color theme="1"/>
        <rFont val="Arial"/>
      </rPr>
      <t>Young Working Adults (Millennials):</t>
    </r>
    <r>
      <rPr>
        <sz val="10"/>
        <color theme="1"/>
        <rFont val="Arial"/>
      </rPr>
      <t xml:space="preserve">
Ages 27-35
While financially more established, this group may still seek value-for-money experiences as they balance financial responsibilities with social lifestyles. They are attracted to places that offer quality experiences without excessive spending.
--
</t>
    </r>
    <r>
      <rPr>
        <b/>
        <sz val="10"/>
        <color theme="1"/>
        <rFont val="Arial"/>
      </rPr>
      <t xml:space="preserve">Questions to consider for proposed solution:
</t>
    </r>
    <r>
      <rPr>
        <sz val="10"/>
        <color theme="1"/>
        <rFont val="Arial"/>
      </rPr>
      <t>- Where will you be able to source this consolidated happy hours bars/pub data?
- Who will maintain this happy hour bars/pub data info e.g. price, timing and if the bar/pub closes?</t>
    </r>
  </si>
  <si>
    <t xml:space="preserve">Spoke with 2 working adults between the ages of 27-35. While they said that they enjoyed meeting their friends at bars, the price of drinks tended to not be affordable, validatiing my initial problem statement. 
When asked how they sourced for value for money options, they shared that they would have to click through the individual websites of the bars they had in mind to check their prices, or search up happy hour listicles by Timeout or other food bloggers. Sometimes, the information would not be readily available, e.g. you might have to search in the reviews or on different platforms to confirm that this establishment offered happy hours. 
When asked specifically about what information would be useful, they shared that timing of happy hours (including what days and time, given that they would have to check if it coincided with when they were off work), location of the establishment and independent reviews/ratings of the establishment. 
</t>
  </si>
  <si>
    <t xml:space="preserve">Given that a pain point is having to click through multiple pages to confirm whether an establishment has happy hour offers available, the solution should ensure the information is easily accessible and digestible at a glance.
The interviews validated the need for 
- Location (linking to google maps) 
- Happy hour timings (timing and day)
- Independent reviews (should be from other patrons, rather than linked to the website as the user mentioned that she did not trust reviews from affiliated sites or food blogs) 
</t>
  </si>
  <si>
    <t xml:space="preserve">Given the rising cost of living in SIngapore, eating out has become increasingly expensive. This extends to the prices of alcoholic beverages, which are already more pricey than standard beverages/food options.
This is a problem for young working adults in their 20s to 30s, as they tend to be more price-conscious during the earlier phases of their career, but at the same time might have the desire to have drinks with their friends. There is currently no consolidated page for bars that offer happy hours, where drinks are more affordable and value-for-money. Without such information being readily available, the steep prices could either deter young working adults from social gatherings at bars, or cause them to spend more as they are unaware of where the value-for-money options are. 
</t>
  </si>
  <si>
    <t>Organiser can login and have edit access to answer questions within 24hours from start of event. Organisers cannot edit questions. Same website link and 6 digit code with questions and offline answers will be available read only, for 30 days</t>
  </si>
  <si>
    <t>Thirst Trap</t>
  </si>
  <si>
    <t>https://thirst-trap.org/</t>
  </si>
  <si>
    <t xml:space="preserve">Thirst Trap is a web app targeted at young working adults (mainly millenials in their mid 20s to 30s) that are budget-conscious, but also keen to maintain a healthy social life by hanging at bars with their friends. It provides a quick overview of bars with happy hours (the window within which drinks are usually much more affordable), and allows users to filter for key criteria before deciding on which bar to patronise. </t>
  </si>
  <si>
    <t>Health</t>
  </si>
  <si>
    <r>
      <rPr>
        <b/>
        <sz val="11"/>
        <rFont val="Arial"/>
      </rPr>
      <t xml:space="preserve">Problem Statement
What's good:
</t>
    </r>
    <r>
      <rPr>
        <sz val="11"/>
        <rFont val="Arial"/>
      </rPr>
      <t>✓</t>
    </r>
    <r>
      <rPr>
        <b/>
        <sz val="11"/>
        <rFont val="Arial"/>
      </rPr>
      <t xml:space="preserve"> Pain points </t>
    </r>
    <r>
      <rPr>
        <sz val="11"/>
        <rFont val="Arial"/>
      </rPr>
      <t xml:space="preserve">clear (limited access to mental health resources tailored to Gen Z’s digital-first, high-stress lifestyles; constant exposure to social media and high-stress environments)
✓ </t>
    </r>
    <r>
      <rPr>
        <b/>
        <sz val="11"/>
        <rFont val="Arial"/>
      </rPr>
      <t>Consequences</t>
    </r>
    <r>
      <rPr>
        <sz val="11"/>
        <rFont val="Arial"/>
      </rPr>
      <t xml:space="preserve"> clear (increased difficulty managing academic, social, and professional pressures; diminished well-being and reduced engagement in daily activities)
✓ </t>
    </r>
    <r>
      <rPr>
        <b/>
        <sz val="11"/>
        <rFont val="Arial"/>
      </rPr>
      <t>Problem depth</t>
    </r>
    <r>
      <rPr>
        <sz val="11"/>
        <rFont val="Arial"/>
      </rPr>
      <t xml:space="preserve"> is appropriate with strong context around the unique mental health challenges Gen Z faces due to digital exposure, societal expectations, and the scarcity of accessible, tailored mental health resources.
</t>
    </r>
    <r>
      <rPr>
        <b/>
        <sz val="11"/>
        <rFont val="Arial"/>
      </rPr>
      <t>Can be improved:
- Target User Group:</t>
    </r>
    <r>
      <rPr>
        <sz val="11"/>
        <rFont val="Arial"/>
      </rPr>
      <t xml:space="preserve"> Can be more specific: Choose a primary user e.g. Tertiary students in Singapore e.g. Polytechnic/JC aged 17-20 OR Gen Z in Singapores aged 20 to 25 in their first jobs etc
</t>
    </r>
    <r>
      <rPr>
        <b/>
        <sz val="11"/>
        <rFont val="Arial"/>
      </rPr>
      <t xml:space="preserve">- Narrower scope: </t>
    </r>
    <r>
      <rPr>
        <sz val="11"/>
        <rFont val="Arial"/>
      </rPr>
      <t>Current scope is too broad, the interventions for schools and workplaces might be different
- Be more concise
For</t>
    </r>
    <r>
      <rPr>
        <b/>
        <sz val="11"/>
        <rFont val="Arial"/>
      </rPr>
      <t xml:space="preserve"> insights on workplace mental well-being,</t>
    </r>
    <r>
      <rPr>
        <sz val="11"/>
        <rFont val="Arial"/>
      </rPr>
      <t xml:space="preserve"> this user research report highlights key pain points: </t>
    </r>
    <r>
      <rPr>
        <u/>
        <sz val="11"/>
        <color rgb="FF1155CC"/>
        <rFont val="Arial"/>
      </rPr>
      <t>link</t>
    </r>
    <r>
      <rPr>
        <sz val="11"/>
        <rFont val="Arial"/>
      </rPr>
      <t xml:space="preserve">
</t>
    </r>
    <r>
      <rPr>
        <b/>
        <sz val="11"/>
        <color rgb="FF674EA7"/>
        <rFont val="Arial"/>
      </rPr>
      <t xml:space="preserve">An example below on how to improve problem statement in this format: </t>
    </r>
    <r>
      <rPr>
        <i/>
        <sz val="11"/>
        <color rgb="FF674EA7"/>
        <rFont val="Arial"/>
      </rPr>
      <t>(</t>
    </r>
    <r>
      <rPr>
        <i/>
        <sz val="11"/>
        <rFont val="Arial"/>
      </rPr>
      <t>Kindly refine problem statement in your own words)</t>
    </r>
    <r>
      <rPr>
        <b/>
        <sz val="11"/>
        <rFont val="Arial"/>
      </rPr>
      <t xml:space="preserve">
[Background Context] </t>
    </r>
    <r>
      <rPr>
        <sz val="11"/>
        <rFont val="Arial"/>
      </rPr>
      <t xml:space="preserve">Polytechnic and JC students in Singapore, aged 17-20, face high rates of anxiety and stress as they navigate academic pressures and social expectations in a digital-first world.
</t>
    </r>
    <r>
      <rPr>
        <b/>
        <sz val="11"/>
        <rFont val="Arial"/>
      </rPr>
      <t>This causes problem for: t</t>
    </r>
    <r>
      <rPr>
        <sz val="11"/>
        <rFont val="Arial"/>
      </rPr>
      <t xml:space="preserve">ertiary students who need accessible, tailored mental health support.
</t>
    </r>
    <r>
      <rPr>
        <b/>
        <sz val="11"/>
        <rFont val="Arial"/>
      </rPr>
      <t>because: t</t>
    </r>
    <r>
      <rPr>
        <sz val="11"/>
        <rFont val="Arial"/>
      </rPr>
      <t xml:space="preserve">hey struggle to manage academic and social pressures, with limited resources and constant social media exposure amplifying their challenges.
</t>
    </r>
    <r>
      <rPr>
        <b/>
        <sz val="11"/>
        <rFont val="Arial"/>
      </rPr>
      <t>This is important because: i</t>
    </r>
    <r>
      <rPr>
        <sz val="11"/>
        <rFont val="Arial"/>
      </rPr>
      <t>t impacts their well-being, academic performance, and personal development.</t>
    </r>
    <r>
      <rPr>
        <u/>
        <sz val="11"/>
        <color rgb="FF1155CC"/>
        <rFont val="Arial"/>
      </rPr>
      <t xml:space="preserve">
</t>
    </r>
    <r>
      <rPr>
        <sz val="11"/>
        <rFont val="Arial"/>
      </rPr>
      <t xml:space="preserve">--
</t>
    </r>
    <r>
      <rPr>
        <b/>
        <sz val="11"/>
        <color rgb="FFA64D79"/>
        <rFont val="Arial"/>
      </rPr>
      <t xml:space="preserve">Might need to consider reworking proposed solution to identify the gap in the market: </t>
    </r>
    <r>
      <rPr>
        <b/>
        <sz val="11"/>
        <color rgb="FF674EA7"/>
        <rFont val="Arial"/>
      </rPr>
      <t xml:space="preserve">There are existing solutions that already provide some of the functionality of your proposed solution. </t>
    </r>
    <r>
      <rPr>
        <b/>
        <sz val="11"/>
        <rFont val="Arial"/>
      </rPr>
      <t xml:space="preserve">
1.</t>
    </r>
    <r>
      <rPr>
        <b/>
        <u/>
        <sz val="11"/>
        <color rgb="FF1155CC"/>
        <rFont val="Arial"/>
      </rPr>
      <t xml:space="preserve"> Intellect</t>
    </r>
    <r>
      <rPr>
        <sz val="11"/>
        <rFont val="Arial"/>
      </rPr>
      <t xml:space="preserve">
A Singapore-based mental health app providing self-guided programs and access to licensed professionals, focusing on personal development and mental well-being.
</t>
    </r>
    <r>
      <rPr>
        <b/>
        <sz val="11"/>
        <rFont val="Arial"/>
      </rPr>
      <t xml:space="preserve">2. </t>
    </r>
    <r>
      <rPr>
        <b/>
        <u/>
        <sz val="11"/>
        <color rgb="FF1155CC"/>
        <rFont val="Arial"/>
      </rPr>
      <t>MindFi</t>
    </r>
    <r>
      <rPr>
        <sz val="11"/>
        <rFont val="Arial"/>
      </rPr>
      <t xml:space="preserve">
A corporate mental health and wellness platform offering guided self-care programs and intelligent matching with coaches and therapists, emphasizing data confidentiality and cultural relevance. 
</t>
    </r>
    <r>
      <rPr>
        <b/>
        <u/>
        <sz val="11"/>
        <color rgb="FF1155CC"/>
        <rFont val="Arial"/>
      </rPr>
      <t>3. Mindline.sg</t>
    </r>
    <r>
      <rPr>
        <sz val="11"/>
        <rFont val="Arial"/>
      </rPr>
      <t xml:space="preserve">
A government initiative offering a range of mental health resources, including self-assessment tools and access to support services, aimed at promoting mental well-being among Singaporeans
</t>
    </r>
    <r>
      <rPr>
        <b/>
        <sz val="11"/>
        <rFont val="Arial"/>
      </rPr>
      <t xml:space="preserve">4. </t>
    </r>
    <r>
      <rPr>
        <b/>
        <u/>
        <sz val="11"/>
        <color rgb="FF1155CC"/>
        <rFont val="Arial"/>
      </rPr>
      <t>Calm Collective Asia</t>
    </r>
    <r>
      <rPr>
        <sz val="11"/>
        <rFont val="Arial"/>
      </rPr>
      <t xml:space="preserve">
An online platform providing mental health resources, including articles, podcasts, and virtual and </t>
    </r>
    <r>
      <rPr>
        <u/>
        <sz val="11"/>
        <color rgb="FF1155CC"/>
        <rFont val="Arial"/>
      </rPr>
      <t>in-person events</t>
    </r>
    <r>
      <rPr>
        <sz val="11"/>
        <rFont val="Arial"/>
      </rPr>
      <t xml:space="preserve">, focusing on mental well-being in the Asian context.
5. </t>
    </r>
    <r>
      <rPr>
        <b/>
        <u/>
        <sz val="11"/>
        <color rgb="FF1155CC"/>
        <rFont val="Arial"/>
      </rPr>
      <t xml:space="preserve">Huddleverse
</t>
    </r>
    <r>
      <rPr>
        <sz val="11"/>
        <rFont val="Arial"/>
      </rPr>
      <t>An app that allows individuals facing mental health issues to support one another, acting like a social media feed for users to share their feelings and experiences.</t>
    </r>
  </si>
  <si>
    <t>i spoke to 2 interviewees. Female (25) working, Male (24) interning.
Female respondent shared that she resonated with the the detioration of mental health in her friends and her. they kind of want help but not sure where to go, who to look out for, no trusted source of into to go to. often feeling anxious, worried and stress, not knowing what to do. they dont know if they should keep it to themselves and dont know how serious must it be, before seeking for help. 
she generally would not reach out to friends about mental health topic unless her friend mentions it, where then she would share about her mental state. 
Generally she would journal it down, go online and search for answers but there's no one authority source she would choose. she mentioned sometimes while searching for the topic, she would add the word reddit to help her zoom in onto what others are talking about.
Male respondent shared that his stressful moments are about the pre and post full time working stages. anxiety comes from how to createnetwork and skillset so as to be hired as full-timer and maintain continious progress at work. the image he protray at work also contributesto his stress as it will affect his chances of being hired.
competition amoung peers about pay, positions, company's reputation creates uncessary stress for him. a constant annoyance in life. sometimes he might be thinking it until he falls asleep. point to note, he feels that some stress is good as it keps him at his toes and motivates him to do better at current stage.
some coping mechanism he mentioned were, being objective with the situation and think of what he can do and don't think that it's the end of the work. he will also play computer games, exercise like running and football and MMA or watch comedy, sitcoms or drama totake his mind away to another place.</t>
  </si>
  <si>
    <t>Conscious Spaces</t>
  </si>
  <si>
    <t>https://consciousspaces.org</t>
  </si>
  <si>
    <t>Conscious spaces is a well-being space to help Gen Z navigate their life consciously. they're able to asses their current state of mental, emotional and work related well-being. They can explore activites and materials to work on stress resiliency.</t>
  </si>
  <si>
    <r>
      <rPr>
        <sz val="11"/>
        <rFont val="Arial"/>
      </rPr>
      <t xml:space="preserve">Problem statement is clear and provides a good level of detail with a well-defined target group, clear pain points, and consequences of inaction. It effectively scopes the problem without being too abstract or granular.
</t>
    </r>
    <r>
      <rPr>
        <b/>
        <sz val="11"/>
        <rFont val="Arial"/>
      </rPr>
      <t xml:space="preserve">What's good:
</t>
    </r>
    <r>
      <rPr>
        <sz val="11"/>
        <rFont val="Arial"/>
      </rPr>
      <t xml:space="preserve">✓ Target users clear (individuals and families who experience challenges with meal planning due to busy schedules and dietary restrictions)
✓ Pain points clear (decision fatigue from too many online recipes, difficulty finding suitable recipes, and the challenges of catering to dietary needs)
✓ Consequences clear (food waste, unnecessary grocery spending, and increased reliance on unhealthy or takeout options)
✓ Problem depth is appropriate with context around common issues like busy schedules, dietary restrictions, and the overwhelming choice of recipes online, which all contribute to ineffective meal planning.
</t>
    </r>
    <r>
      <rPr>
        <b/>
        <sz val="11"/>
        <rFont val="Arial"/>
      </rPr>
      <t xml:space="preserve">Can be improved:
</t>
    </r>
    <r>
      <rPr>
        <b/>
        <sz val="11"/>
        <color rgb="FFA64D79"/>
        <rFont val="Arial"/>
      </rPr>
      <t xml:space="preserve">Target users: </t>
    </r>
    <r>
      <rPr>
        <sz val="11"/>
        <color rgb="FFA64D79"/>
        <rFont val="Arial"/>
      </rPr>
      <t>Based in Singapore, target age range, dietary. needs?</t>
    </r>
    <r>
      <rPr>
        <b/>
        <sz val="11"/>
        <rFont val="Arial"/>
      </rPr>
      <t xml:space="preserve">
Depth: </t>
    </r>
    <r>
      <rPr>
        <sz val="11"/>
        <rFont val="Arial"/>
      </rPr>
      <t xml:space="preserve">Could be enhanced by providing examples of specific dietary restrictions or situations that lead to food waste, which would help to illustrate the diversity of the challenges.
--
</t>
    </r>
    <r>
      <rPr>
        <b/>
        <sz val="11"/>
        <color rgb="FF674EA7"/>
        <rFont val="Arial"/>
      </rPr>
      <t xml:space="preserve">An example below on how to improve problem statement in this format: </t>
    </r>
    <r>
      <rPr>
        <i/>
        <sz val="11"/>
        <rFont val="Arial"/>
      </rPr>
      <t>(Kindly refine problem statement in your own words)</t>
    </r>
    <r>
      <rPr>
        <sz val="11"/>
        <rFont val="Arial"/>
      </rPr>
      <t xml:space="preserve">
</t>
    </r>
    <r>
      <rPr>
        <b/>
        <sz val="11"/>
        <rFont val="Arial"/>
      </rPr>
      <t xml:space="preserve">[Background context] </t>
    </r>
    <r>
      <rPr>
        <sz val="11"/>
        <rFont val="Arial"/>
      </rPr>
      <t xml:space="preserve">
</t>
    </r>
    <r>
      <rPr>
        <u/>
        <sz val="11"/>
        <color rgb="FF674EA7"/>
        <rFont val="Arial"/>
      </rPr>
      <t xml:space="preserve">In Singapore, young professionals aged 25-35 struggle </t>
    </r>
    <r>
      <rPr>
        <sz val="11"/>
        <rFont val="Arial"/>
      </rPr>
      <t xml:space="preserve">with meal planning due to busy schedules and overwhelming recipe options. Health-conscious and often in dual-income households, they prioritise convenient, balanced meals that meet dietary needs like </t>
    </r>
    <r>
      <rPr>
        <u/>
        <sz val="11"/>
        <color rgb="FF674EA7"/>
        <rFont val="Arial"/>
      </rPr>
      <t>vegetarian, halal, and low-carb preferences etc</t>
    </r>
    <r>
      <rPr>
        <sz val="11"/>
        <rFont val="Arial"/>
      </rPr>
      <t xml:space="preserve">.
</t>
    </r>
    <r>
      <rPr>
        <b/>
        <sz val="11"/>
        <rFont val="Arial"/>
      </rPr>
      <t xml:space="preserve">This causes problem for: </t>
    </r>
    <r>
      <rPr>
        <sz val="11"/>
        <rFont val="Arial"/>
      </rPr>
      <t xml:space="preserve">busy households who aim to prepare balanced and satisfying meals.
</t>
    </r>
    <r>
      <rPr>
        <b/>
        <sz val="11"/>
        <rFont val="Arial"/>
      </rPr>
      <t xml:space="preserve">because: </t>
    </r>
    <r>
      <rPr>
        <sz val="11"/>
        <rFont val="Arial"/>
      </rPr>
      <t xml:space="preserve">they face decision fatigue and difficulty in selecting recipes that fit their dietary needs (e.g., vegetarian, gluten-free, or low-carb) and use available ingredients efficiently. As a result, they often end up buying unnecessary groceries, wasting food, or resorting to unhealthy takeout options.
</t>
    </r>
    <r>
      <rPr>
        <b/>
        <sz val="11"/>
        <rFont val="Arial"/>
      </rPr>
      <t>This is important because: i</t>
    </r>
    <r>
      <rPr>
        <sz val="11"/>
        <rFont val="Arial"/>
      </rPr>
      <t xml:space="preserve">t leads to increased food waste, extra grocery expenses, and a reliance on less nutritious meals, all of which undermine both personal health goals and broader sustainability efforts.
--
</t>
    </r>
    <r>
      <rPr>
        <b/>
        <sz val="11"/>
        <color rgb="FFA64D79"/>
        <rFont val="Arial"/>
      </rPr>
      <t xml:space="preserve">Might need to consider reworking proposed solution:
</t>
    </r>
    <r>
      <rPr>
        <b/>
        <sz val="11"/>
        <color rgb="FF674EA7"/>
        <rFont val="Arial"/>
      </rPr>
      <t>There are existing solutions that already provide some of the functionality of your proposed solution.</t>
    </r>
    <r>
      <rPr>
        <sz val="11"/>
        <rFont val="Arial"/>
      </rPr>
      <t xml:space="preserve">
</t>
    </r>
    <r>
      <rPr>
        <b/>
        <sz val="11"/>
        <rFont val="Arial"/>
      </rPr>
      <t>MealBoard</t>
    </r>
    <r>
      <rPr>
        <sz val="11"/>
        <rFont val="Arial"/>
      </rPr>
      <t xml:space="preserve">
An app that combines recipe management, meal planning, and grocery list generation. Users can import recipes, plan meals, and generate shopping lists based on their plans. It also allows users to input available ingredients to find suitable recipes.
</t>
    </r>
    <r>
      <rPr>
        <u/>
        <sz val="11"/>
        <color rgb="FF1155CC"/>
        <rFont val="Arial"/>
      </rPr>
      <t>MealBoard</t>
    </r>
    <r>
      <rPr>
        <sz val="11"/>
        <rFont val="Arial"/>
      </rPr>
      <t xml:space="preserve">
</t>
    </r>
    <r>
      <rPr>
        <b/>
        <sz val="11"/>
        <rFont val="Arial"/>
      </rPr>
      <t>Yummly</t>
    </r>
    <r>
      <rPr>
        <sz val="11"/>
        <rFont val="Arial"/>
      </rPr>
      <t xml:space="preserve">
A comprehensive app offering personalized recipe recommendations, meal planning, and grocery shopping assistance. Users can filter recipes based on dietary preferences, ingredients on hand, and cooking skills. Yummly also provides instructional videos and integrates with smart appliances.
</t>
    </r>
    <r>
      <rPr>
        <u/>
        <sz val="11"/>
        <color rgb="FF1155CC"/>
        <rFont val="Arial"/>
      </rPr>
      <t>Yummly</t>
    </r>
    <r>
      <rPr>
        <sz val="11"/>
        <rFont val="Arial"/>
      </rPr>
      <t xml:space="preserve">
</t>
    </r>
    <r>
      <rPr>
        <b/>
        <sz val="11"/>
        <rFont val="Arial"/>
      </rPr>
      <t>Eat This Much</t>
    </r>
    <r>
      <rPr>
        <sz val="11"/>
        <rFont val="Arial"/>
      </rPr>
      <t xml:space="preserve">
An automatic meal planner that generates meal plans based on user preferences, dietary goals, and available ingredients. It helps users adhere to specific calorie targets and dietary restrictions by providing tailored recipes and grocery lists.
</t>
    </r>
    <r>
      <rPr>
        <u/>
        <sz val="11"/>
        <color rgb="FF1155CC"/>
        <rFont val="Arial"/>
      </rPr>
      <t xml:space="preserve">Eat This Much
</t>
    </r>
    <r>
      <rPr>
        <sz val="11"/>
        <rFont val="Arial"/>
      </rPr>
      <t xml:space="preserve">
</t>
    </r>
    <r>
      <rPr>
        <b/>
        <sz val="11"/>
        <rFont val="Arial"/>
      </rPr>
      <t>YoRipe</t>
    </r>
    <r>
      <rPr>
        <sz val="11"/>
        <rFont val="Arial"/>
      </rPr>
      <t xml:space="preserve">
A local app featuring a vast collection of Asian-inspired recipes. Users can input dietary preferences and available ingredients to receive tailored recipe suggestions. The app also offers meal planning features and grocery list generation.
</t>
    </r>
    <r>
      <rPr>
        <u/>
        <sz val="11"/>
        <color rgb="FF1155CC"/>
        <rFont val="Arial"/>
      </rPr>
      <t>YoRipe</t>
    </r>
    <r>
      <rPr>
        <sz val="11"/>
        <rFont val="Arial"/>
      </rPr>
      <t xml:space="preserve">
</t>
    </r>
    <r>
      <rPr>
        <b/>
        <sz val="11"/>
        <rFont val="Arial"/>
      </rPr>
      <t>SamsungFood</t>
    </r>
    <r>
      <rPr>
        <sz val="11"/>
        <rFont val="Arial"/>
      </rPr>
      <t xml:space="preserve">
An app that enables users to save recipes from various sources, create meal plans, and generate shopping lists. Whisk integrates with multiple grocery delivery services, allowing users to order ingredients directly through the app. It also offers collaborative features for shared meal planning.
</t>
    </r>
    <r>
      <rPr>
        <u/>
        <sz val="11"/>
        <color rgb="FF1155CC"/>
        <rFont val="Arial"/>
      </rPr>
      <t xml:space="preserve">SamsungFood
</t>
    </r>
    <r>
      <rPr>
        <sz val="11"/>
        <rFont val="Arial"/>
      </rPr>
      <t xml:space="preserve">
</t>
    </r>
  </si>
  <si>
    <t>I interviewed three young professionals aged 25-34 and gathered six key insights that reflect their unique needs and preferences for meal planning:
1. Expanded Target Audience: Young Professionals with Children - Including children in the household adds unique challenges to meal planning. Young professionals must now balance their own dietary goals with the preferences, nutritional needs, and often selective eating habits of their children. This dynamic makes meal planning more complex, as it requires family-friendly options that cater to both adult and child preferences.
2. Desire for Simplified Decision-Making: After a long workday, users experience “decision fatigue” from navigating an overwhelming number of recipe and food options. They prefer a streamlined process with minimal steps, featuring personalized recommendations that align with their dietary preferences and available ingredients.
3. Need for Flexible Meal Planning: Users value the flexibility to adjust meal plans as family schedules and needs shift throughout the week. They want the ability to swap meals, adjust portions, or skip planned meals when unexpected events arise, with an app that can dynamically adapt to these changes.
4. Preference for Reducing Food Waste: Many young professionals prioritize reducing food waste and appreciate guidance on using up ingredients before they spoil. They find value in features like expiration reminders and recipe suggestions that incorporate what’s already available in their pantry.
5. Convenience in Accessing Family-Friendly Meal Options: For users with children, easily finding family-friendly meals is essential. They seek recipes that are both nutritious and appealing to kids, with options for quick modifications to suit different tastes or dietary needs within the family.
6. Focus on Budget-Conscious Planning Users are mindful of their grocery spending and want budget-friendly meal suggestions. They appreciate clear meal cost estimates and affordable ingredient substitutions, as well as an efficient shopping list feature that minimizes unnecessary purchases.
These insights reveal a need for a meal-planning app that prioritizes simplicity, adaptability, waste reduction, family-friendliness, and cost-consciousness.</t>
  </si>
  <si>
    <t>Based on the insights gathered from interviews, I would make the following adjustments to the web app to better align with the needs of young professionals, particularly those with children:
1. Introduce a “Family Mode” with Child-Friendly Features I would add a “Family Mode” that offers kid-friendly recipes and meal customization options. This mode would provide:
    * Family-Friendly Recipes tagged with child-appeal ratings or simple modifications to make meals more kid-friendly (e.g., less spice, fun presentations).
    * Split Recipe Options for meals that cater to both adult and child tastes, allowing users to quickly modify recipes for different family members.
    * Nutritional Emphasis to help parents ensure meals are balanced for children’s developmental needs, perhaps with tips for incorporating key nutrients like calcium or iron.
2. Enhanced Personalization for Reducing Decision Fatigue I would implement an onboarding process that collects dietary preferences, family size, and typical cooking time available, allowing the app to deliver highly tailored recipe suggestions right from the start. The app would then feature a "Quick Pick" Option with a shortlist of daily or weekly meal suggestions that eliminate choice overload, helping users find meal options without having to scroll through endless recipes.
3. Dynamic Meal Planning and Real-Time Adjustments To accommodate users’ need for flexibility, I would make the meal planner more adaptable, with easy options to:
    * Adjust Serving Sizes Dynamically to account for different family needs or varying numbers of people on a given day.
    * Auto-Generate Leftover Recipes that suggest new meals based on remaining portions from the previous meal, making meal planning more efficient and reducing food waste.
4. Inventory and Expiration Tracking for Waste Reduction I would develop a Pantry Tracker that allows users to keep track of their ingredients, sends expiration reminders, and highlights recipes that use up soon-to-expire items. The tracker would also provide a "Cook What’s Left" Option to suggest recipes using ingredients that are close to expiring, minimizing food waste and unnecessary purchases.</t>
  </si>
  <si>
    <t>This is a problem for young working adults in their 20s to 30s, as they tend to be more price conscious during the earlier phases of their career, but at the same time might have the desire to have drinks with their friends. There is currently no consolidated page for bars that offer happy hours, where drinks are more affordable and value-for-money. Without such information being readily available, the steep prices could either deter young working adults from social gatherings at bars, or cause them to spend more as they are unaware of where the value-for-money options are.</t>
  </si>
  <si>
    <t>Version 2 of website app will offer login using email address that is associated to first and last name so submitted questions can be associated to name.</t>
  </si>
  <si>
    <t>Bite Right</t>
  </si>
  <si>
    <t>https://biteright.online/</t>
  </si>
  <si>
    <t>BiteRight Online is a meal planning app designed to help users make smarter food choices. It tailors meal plans based on personal preferences, dietary needs, and health goals, making it easy to plan nutritious meals for a healthier lifestyle.</t>
  </si>
  <si>
    <r>
      <rPr>
        <b/>
        <sz val="10"/>
        <rFont val="Arial"/>
      </rPr>
      <t>What's good:</t>
    </r>
    <r>
      <rPr>
        <sz val="10"/>
        <color rgb="FF000000"/>
        <rFont val="Arial"/>
        <scheme val="minor"/>
      </rPr>
      <t xml:space="preserve">
✓ </t>
    </r>
    <r>
      <rPr>
        <b/>
        <sz val="10"/>
        <rFont val="Arial"/>
      </rPr>
      <t>Target users</t>
    </r>
    <r>
      <rPr>
        <sz val="10"/>
        <color rgb="FF000000"/>
        <rFont val="Arial"/>
        <scheme val="minor"/>
      </rPr>
      <t xml:space="preserve"> clear (social drinkers and non-drinkers looking for inclusivity in beverage choices at gatherings)
✓ </t>
    </r>
    <r>
      <rPr>
        <b/>
        <sz val="10"/>
        <rFont val="Arial"/>
      </rPr>
      <t xml:space="preserve">Pain points </t>
    </r>
    <r>
      <rPr>
        <sz val="10"/>
        <color rgb="FF000000"/>
        <rFont val="Arial"/>
        <scheme val="minor"/>
      </rPr>
      <t xml:space="preserve">clear (non-drinkers often feel excluded due to limited non-alcoholic options; hosts struggle to create interesting drinks for all preferences)
✓ </t>
    </r>
    <r>
      <rPr>
        <b/>
        <sz val="10"/>
        <rFont val="Arial"/>
      </rPr>
      <t>Clear Hypothesis of consequences</t>
    </r>
    <r>
      <rPr>
        <sz val="10"/>
        <color rgb="FF000000"/>
        <rFont val="Arial"/>
        <scheme val="minor"/>
      </rPr>
      <t xml:space="preserve"> (reduced enjoyment and inclusivity at gatherings; non-drinkers miss out on the social experience of crafting and sharing unique drinks)
</t>
    </r>
    <r>
      <rPr>
        <sz val="10"/>
        <color rgb="FFA64D79"/>
        <rFont val="Arial"/>
      </rPr>
      <t>sidenote: clarity of hypothesis ≠ it is the right problem to solve. It just means you have a clear hypothesis to test (:</t>
    </r>
    <r>
      <rPr>
        <sz val="10"/>
        <color rgb="FF000000"/>
        <rFont val="Arial"/>
        <scheme val="minor"/>
      </rPr>
      <t xml:space="preserve">
</t>
    </r>
    <r>
      <rPr>
        <b/>
        <sz val="10"/>
        <rFont val="Arial"/>
      </rPr>
      <t xml:space="preserve">Could be better:
Target users: </t>
    </r>
    <r>
      <rPr>
        <sz val="10"/>
        <color rgb="FFA64D79"/>
        <rFont val="Arial"/>
      </rPr>
      <t>Are the target users based in Singapore or elsewhere, and what is their age group?</t>
    </r>
    <r>
      <rPr>
        <b/>
        <sz val="10"/>
        <rFont val="Arial"/>
      </rPr>
      <t xml:space="preserve">
Depth: </t>
    </r>
    <r>
      <rPr>
        <sz val="10"/>
        <color rgb="FF000000"/>
        <rFont val="Arial"/>
        <scheme val="minor"/>
      </rPr>
      <t xml:space="preserve">Could be enhanced with examples of scenarios where non-drinkers feel left out or where hosts find it challenging to cater to diverse preferences with their available ingredients.
</t>
    </r>
    <r>
      <rPr>
        <b/>
        <sz val="10"/>
        <rFont val="Arial"/>
      </rPr>
      <t>Concise:</t>
    </r>
    <r>
      <rPr>
        <sz val="10"/>
        <color rgb="FF000000"/>
        <rFont val="Arial"/>
        <scheme val="minor"/>
      </rPr>
      <t xml:space="preserve"> Slightly verbose; some repetition around inclusivity and creativity could be trimmed for a more direct impact.
--
</t>
    </r>
    <r>
      <rPr>
        <b/>
        <sz val="10"/>
        <rFont val="Arial"/>
      </rPr>
      <t xml:space="preserve">Problem Statement: </t>
    </r>
    <r>
      <rPr>
        <sz val="10"/>
        <color rgb="FF000000"/>
        <rFont val="Arial"/>
        <scheme val="minor"/>
      </rPr>
      <t xml:space="preserve">[Background context]
</t>
    </r>
    <r>
      <rPr>
        <b/>
        <sz val="10"/>
        <rFont val="Arial"/>
      </rPr>
      <t>This causes problem for:</t>
    </r>
    <r>
      <rPr>
        <sz val="10"/>
        <color rgb="FF000000"/>
        <rFont val="Arial"/>
        <scheme val="minor"/>
      </rPr>
      <t xml:space="preserve"> [user group]
</t>
    </r>
    <r>
      <rPr>
        <b/>
        <sz val="10"/>
        <rFont val="Arial"/>
      </rPr>
      <t>because:</t>
    </r>
    <r>
      <rPr>
        <sz val="10"/>
        <color rgb="FF000000"/>
        <rFont val="Arial"/>
        <scheme val="minor"/>
      </rPr>
      <t xml:space="preserve"> [how or why it affects the user]
</t>
    </r>
    <r>
      <rPr>
        <b/>
        <sz val="10"/>
        <rFont val="Arial"/>
      </rPr>
      <t xml:space="preserve">This is important </t>
    </r>
    <r>
      <rPr>
        <sz val="10"/>
        <color rgb="FF000000"/>
        <rFont val="Arial"/>
        <scheme val="minor"/>
      </rPr>
      <t xml:space="preserve">because: [impact of problem on the organisation]
</t>
    </r>
    <r>
      <rPr>
        <b/>
        <sz val="10"/>
        <color rgb="FF674EA7"/>
        <rFont val="Arial"/>
      </rPr>
      <t xml:space="preserve">An example below on how to improve problem statement in this format: </t>
    </r>
    <r>
      <rPr>
        <i/>
        <sz val="10"/>
        <rFont val="Arial"/>
      </rPr>
      <t>(Kindly refine problem statement in your own words)</t>
    </r>
    <r>
      <rPr>
        <sz val="10"/>
        <color rgb="FF674EA7"/>
        <rFont val="Arial"/>
      </rPr>
      <t xml:space="preserve">
</t>
    </r>
    <r>
      <rPr>
        <b/>
        <sz val="10"/>
        <rFont val="Arial"/>
      </rPr>
      <t xml:space="preserve">[Background context] </t>
    </r>
    <r>
      <rPr>
        <sz val="10"/>
        <color rgb="FF000000"/>
        <rFont val="Arial"/>
        <scheme val="minor"/>
      </rPr>
      <t xml:space="preserve">In social gatherings, individuals often enjoy cocktails, but non-drinkers can feel left out due to limited non-alcoholic options and lack of creativity with mocktails.
</t>
    </r>
    <r>
      <rPr>
        <b/>
        <sz val="10"/>
        <rFont val="Arial"/>
      </rPr>
      <t>This causes problem for:</t>
    </r>
    <r>
      <rPr>
        <sz val="10"/>
        <color rgb="FF000000"/>
        <rFont val="Arial"/>
        <scheme val="minor"/>
      </rPr>
      <t xml:space="preserve"> non-drinkers and hosts of gatherings
</t>
    </r>
    <r>
      <rPr>
        <b/>
        <sz val="10"/>
        <rFont val="Arial"/>
      </rPr>
      <t>because:</t>
    </r>
    <r>
      <rPr>
        <sz val="10"/>
        <color rgb="FF000000"/>
        <rFont val="Arial"/>
        <scheme val="minor"/>
      </rPr>
      <t xml:space="preserve"> non-drinkers miss out on the social experience of crafting and sharing unique drinks, and hosts may struggle to cater to diverse preferences with interesting beverage options.
</t>
    </r>
    <r>
      <rPr>
        <b/>
        <sz val="10"/>
        <rFont val="Arial"/>
      </rPr>
      <t xml:space="preserve">This is important because: </t>
    </r>
    <r>
      <rPr>
        <sz val="10"/>
        <color rgb="FF000000"/>
        <rFont val="Arial"/>
        <scheme val="minor"/>
      </rPr>
      <t xml:space="preserve">it can limit the inclusivity and enjoyment of social gatherings, affecting the overall atmosphere and experience for all participants.
--
</t>
    </r>
    <r>
      <rPr>
        <b/>
        <sz val="10"/>
        <rFont val="Arial"/>
      </rPr>
      <t xml:space="preserve">Competitor Analysis: 
</t>
    </r>
    <r>
      <rPr>
        <sz val="10"/>
        <color rgb="FFA64D79"/>
        <rFont val="Arial"/>
      </rPr>
      <t>For your proposed solution, there are existing apps that cater to cocktail and mocktail enthusiasts, each offering unique features. Here are some of them.</t>
    </r>
    <r>
      <rPr>
        <sz val="10"/>
        <color rgb="FF000000"/>
        <rFont val="Arial"/>
        <scheme val="minor"/>
      </rPr>
      <t xml:space="preserve">
</t>
    </r>
    <r>
      <rPr>
        <b/>
        <sz val="10"/>
        <rFont val="Arial"/>
      </rPr>
      <t>1. Cocktail Flow</t>
    </r>
    <r>
      <rPr>
        <sz val="10"/>
        <color rgb="FF000000"/>
        <rFont val="Arial"/>
        <scheme val="minor"/>
      </rPr>
      <t xml:space="preserve">
Provides a vast library of cocktail recipes with step-by-step instructions and allows users to input available ingredients to discover compatible drinks.
</t>
    </r>
    <r>
      <rPr>
        <u/>
        <sz val="10"/>
        <color rgb="FF1155CC"/>
        <rFont val="Arial"/>
      </rPr>
      <t>Website Link</t>
    </r>
    <r>
      <rPr>
        <sz val="10"/>
        <color rgb="FF000000"/>
        <rFont val="Arial"/>
        <scheme val="minor"/>
      </rPr>
      <t xml:space="preserve">
</t>
    </r>
    <r>
      <rPr>
        <b/>
        <sz val="10"/>
        <rFont val="Arial"/>
      </rPr>
      <t>2. Mixology™</t>
    </r>
    <r>
      <rPr>
        <sz val="10"/>
        <color rgb="FF000000"/>
        <rFont val="Arial"/>
        <scheme val="minor"/>
      </rPr>
      <t xml:space="preserve">
An extensive encyclopedia of drink recipes and bartender tips, enabling users to explore and create a wide range of beverages.
</t>
    </r>
    <r>
      <rPr>
        <u/>
        <sz val="10"/>
        <color rgb="FF1155CC"/>
        <rFont val="Arial"/>
      </rPr>
      <t>Website Link</t>
    </r>
    <r>
      <rPr>
        <sz val="10"/>
        <color rgb="FF000000"/>
        <rFont val="Arial"/>
        <scheme val="minor"/>
      </rPr>
      <t xml:space="preserve">
</t>
    </r>
    <r>
      <rPr>
        <b/>
        <sz val="10"/>
        <rFont val="Arial"/>
      </rPr>
      <t>3. Mixel</t>
    </r>
    <r>
      <rPr>
        <sz val="10"/>
        <color rgb="FF000000"/>
        <rFont val="Arial"/>
        <scheme val="minor"/>
      </rPr>
      <t xml:space="preserve">
Offers a curated library of over 2,600 cocktail recipes, allowing users to filter and share recipes based on the ingredients they have.
</t>
    </r>
    <r>
      <rPr>
        <u/>
        <sz val="10"/>
        <color rgb="FF1155CC"/>
        <rFont val="Arial"/>
      </rPr>
      <t>Website Link</t>
    </r>
    <r>
      <rPr>
        <sz val="10"/>
        <color rgb="FF000000"/>
        <rFont val="Arial"/>
        <scheme val="minor"/>
      </rPr>
      <t xml:space="preserve">
</t>
    </r>
    <r>
      <rPr>
        <b/>
        <sz val="10"/>
        <rFont val="Arial"/>
      </rPr>
      <t>4. Mocktail Maker</t>
    </r>
    <r>
      <rPr>
        <sz val="10"/>
        <color rgb="FF000000"/>
        <rFont val="Arial"/>
        <scheme val="minor"/>
      </rPr>
      <t xml:space="preserve">
Focuses exclusively on non-alcoholic beverages, featuring a collection of simple and elegant mocktail recipes.
</t>
    </r>
    <r>
      <rPr>
        <u/>
        <sz val="10"/>
        <color rgb="FF1155CC"/>
        <rFont val="Arial"/>
      </rPr>
      <t>Google Play Store Link</t>
    </r>
    <r>
      <rPr>
        <sz val="10"/>
        <color rgb="FF000000"/>
        <rFont val="Arial"/>
        <scheme val="minor"/>
      </rPr>
      <t xml:space="preserve">
</t>
    </r>
    <r>
      <rPr>
        <b/>
        <sz val="10"/>
        <rFont val="Arial"/>
      </rPr>
      <t>5. Simply Mocktails</t>
    </r>
    <r>
      <rPr>
        <sz val="10"/>
        <color rgb="FF000000"/>
        <rFont val="Arial"/>
        <scheme val="minor"/>
      </rPr>
      <t xml:space="preserve">
Provides a collection of cocktail-inspired recipes without alcohol, searchable by drink category, base ingredients, flavor profile, and season.
</t>
    </r>
    <r>
      <rPr>
        <u/>
        <sz val="10"/>
        <color rgb="FF1155CC"/>
        <rFont val="Arial"/>
      </rPr>
      <t xml:space="preserve">App Store Link
</t>
    </r>
    <r>
      <rPr>
        <sz val="10"/>
        <color rgb="FF000000"/>
        <rFont val="Arial"/>
        <scheme val="minor"/>
      </rPr>
      <t xml:space="preserve">--
</t>
    </r>
    <r>
      <rPr>
        <b/>
        <sz val="10"/>
        <color rgb="FFA64D79"/>
        <rFont val="Arial"/>
      </rPr>
      <t>Might need to consider reworking proposed solution:</t>
    </r>
    <r>
      <rPr>
        <b/>
        <sz val="10"/>
        <color rgb="FF674EA7"/>
        <rFont val="Arial"/>
      </rPr>
      <t xml:space="preserve">
There are existing solutions that already provide some of the functionality of your proposed solution.</t>
    </r>
    <r>
      <rPr>
        <sz val="10"/>
        <color rgb="FF000000"/>
        <rFont val="Arial"/>
        <scheme val="minor"/>
      </rPr>
      <t xml:space="preserve">
Example: While these apps offer a variety of cocktail and mocktail recipes,</t>
    </r>
    <r>
      <rPr>
        <b/>
        <sz val="10"/>
        <rFont val="Arial"/>
      </rPr>
      <t xml:space="preserve"> there is a notable gap in providing personalised, ingredient-based recommendations that seamlessly integrate both alcoholic and non-alcoholic options.</t>
    </r>
    <r>
      <rPr>
        <sz val="10"/>
        <color rgb="FF000000"/>
        <rFont val="Arial"/>
        <scheme val="minor"/>
      </rPr>
      <t xml:space="preserve"> None of these apps generate corresponding mocktail variations for every cocktail recipe, which would allow both drinkers and non-drinkers to enjoy similar flavors in a social setting.
An app that offers personalised cocktail and mocktail recipes based on the ingredients available, while ensuring mocktail options are always accessible, would address this gap. This approach would foster inclusivity and creativity in social settings, ensuring that all participants can enjoy the experience of crafting and sharing unique beverages, regardless of their preference for alcohol.</t>
    </r>
  </si>
  <si>
    <t>Interviewed 4 social drinkers and 1 non-alcoholic drinker between the age of 24-29 and discovered 3 insights into their needs when social drinking. 
        1. Decision Fatigue
Users frequently expressed frustration with the decision-making process when choosing drinks, especially when trying to balance taste preferences with dietary goals like calorie limits. This led to a realization that the core issue isn’t just inclusivity but also the mental load of finding a drink that satisfies specific criteria without extensive searching.
        2. Need for Customized Options Based on Taste Preferences regardless whether at a party or for a night out
Many users shared that they enjoy exploring unique drink flavours but struggle to find cocktails or mocktails that match their specific preferences, like fruity, low-calorie, or low-alcohol options. This feedback highlighted a desire for a personalized, bartender-like experience, which shifted the focus to offering tailored drink recommendations rather than simply providing inclusive options and based on ingredients available at that point of time. 
        3. Importance of Easy, Engaging Drink Selection
During gatherings, users want to make quick, informed drink choices rather than spending time browsing recipes or debating what to order. This feedback emphasized the need for a solution that removes decision fatigue by providing easy, relevant drink options based on the user’s tastes and dietary needs.</t>
  </si>
  <si>
    <t>Rather than have the app create recipes based on availability of ingredients, the app will recommend drinks based on preferences and parameters set by the users</t>
  </si>
  <si>
    <t>Calorie-conscious or experience-driven social drinkers and non-alcohol drinkers often face decision fatigue when choosing drinks that align with their preferences, whether at home or in bars. They desire a fun, customized cocktail experience that meets their specific criteria without the hassle of extensive searching. This challenge often leaves them settling for uninspired choices or feeling excluded from the social drinking experience, detracting from their enjoyment.</t>
  </si>
  <si>
    <t>A web app that acts as a virtual bartender, offering users customized cocktail and mocktail suggestions based on their preferences and dietary goals. Users can input parameters such as flavor profile, alcohol alcohol preference, and calorie intake to receive a curated list of drink options that fit their criteria. Each suggested drink includes a nutritional breakdown and a recipe, making it easy to understand and prepare.</t>
  </si>
  <si>
    <t>Booze Buddy</t>
  </si>
  <si>
    <t>https://b00zebuddy.com/</t>
  </si>
  <si>
    <r>
      <t xml:space="preserve">The problem statement is clear in specifying the target users, pain points, and consequences, and it provides an appropriate depth that captures the problem in a concise yet insightful manner.
</t>
    </r>
    <r>
      <rPr>
        <b/>
        <sz val="10"/>
        <color rgb="FF674EA7"/>
        <rFont val="Arial"/>
      </rPr>
      <t>An example below on how to improve problem statement in this format:</t>
    </r>
    <r>
      <rPr>
        <b/>
        <i/>
        <sz val="10"/>
        <color rgb="FF674EA7"/>
        <rFont val="Arial"/>
      </rPr>
      <t xml:space="preserve"> </t>
    </r>
    <r>
      <rPr>
        <b/>
        <i/>
        <sz val="10"/>
        <rFont val="Arial"/>
      </rPr>
      <t>(</t>
    </r>
    <r>
      <rPr>
        <i/>
        <sz val="10"/>
        <rFont val="Arial"/>
      </rPr>
      <t>Feel free to refine problem statement in your own words)</t>
    </r>
    <r>
      <rPr>
        <sz val="10"/>
        <color rgb="FF000000"/>
        <rFont val="Arial"/>
        <scheme val="minor"/>
      </rPr>
      <t xml:space="preserve">
</t>
    </r>
    <r>
      <rPr>
        <b/>
        <sz val="10"/>
        <rFont val="Arial"/>
      </rPr>
      <t xml:space="preserve">[Background context] </t>
    </r>
    <r>
      <rPr>
        <sz val="10"/>
        <color rgb="FF000000"/>
        <rFont val="Arial"/>
        <scheme val="minor"/>
      </rPr>
      <t xml:space="preserve">People who do casual, ad-hoc recommendations (e.g., “weekly roundup of art exhibitions,” “fave music drops this week,” “my top 3 cafes in SG”) need to manually compile and share recommendation lists, often switching between multiple apps and copy-pasting previously-used templates or lists.
</t>
    </r>
    <r>
      <rPr>
        <b/>
        <sz val="10"/>
        <rFont val="Arial"/>
      </rPr>
      <t xml:space="preserve">This causes problem for: </t>
    </r>
    <r>
      <rPr>
        <sz val="10"/>
        <color rgb="FF000000"/>
        <rFont val="Arial"/>
        <scheme val="minor"/>
      </rPr>
      <t xml:space="preserve">users who frequently create and share recommendation lists.
</t>
    </r>
    <r>
      <rPr>
        <b/>
        <sz val="10"/>
        <rFont val="Arial"/>
      </rPr>
      <t>because:</t>
    </r>
    <r>
      <rPr>
        <sz val="10"/>
        <color rgb="FF000000"/>
        <rFont val="Arial"/>
        <scheme val="minor"/>
      </rPr>
      <t xml:space="preserve"> they spend additional time and face inconvenience due to the lack of a quick and convenient way to make and share these lists.
</t>
    </r>
    <r>
      <rPr>
        <b/>
        <sz val="10"/>
        <rFont val="Arial"/>
      </rPr>
      <t xml:space="preserve">This is important because: </t>
    </r>
    <r>
      <rPr>
        <sz val="10"/>
        <color rgb="FF000000"/>
        <rFont val="Arial"/>
        <scheme val="minor"/>
      </rPr>
      <t xml:space="preserve">it discourages users from sharing recommendations as frequently and adds unnecessary friction to the process.
--
</t>
    </r>
    <r>
      <rPr>
        <b/>
        <sz val="10"/>
        <color rgb="FFA64D79"/>
        <rFont val="Arial"/>
      </rPr>
      <t>Might need to consider reworking proposed solution:</t>
    </r>
    <r>
      <rPr>
        <sz val="10"/>
        <color rgb="FF000000"/>
        <rFont val="Arial"/>
        <scheme val="minor"/>
      </rPr>
      <t xml:space="preserve">
</t>
    </r>
    <r>
      <rPr>
        <b/>
        <sz val="10"/>
        <color rgb="FF674EA7"/>
        <rFont val="Arial"/>
      </rPr>
      <t xml:space="preserve">There are existing solutions that already provide </t>
    </r>
    <r>
      <rPr>
        <b/>
        <u/>
        <sz val="10"/>
        <color rgb="FF674EA7"/>
        <rFont val="Arial"/>
      </rPr>
      <t xml:space="preserve">some </t>
    </r>
    <r>
      <rPr>
        <b/>
        <sz val="10"/>
        <color rgb="FF674EA7"/>
        <rFont val="Arial"/>
      </rPr>
      <t xml:space="preserve">of the functionality of your proposed solution.
</t>
    </r>
    <r>
      <rPr>
        <b/>
        <sz val="10"/>
        <rFont val="Arial"/>
      </rPr>
      <t>- Listy:</t>
    </r>
    <r>
      <rPr>
        <sz val="10"/>
        <color rgb="FF000000"/>
        <rFont val="Arial"/>
        <scheme val="minor"/>
      </rPr>
      <t xml:space="preserve"> A free app that allows users to create and share visual lists of their favorite things, such as books, movies, or restaurants. It simplifies the process of compiling recommendations by automatically including related images and enabling easy sharing with friends.
</t>
    </r>
    <r>
      <rPr>
        <u/>
        <sz val="10"/>
        <color rgb="FF1155CC"/>
        <rFont val="Arial"/>
      </rPr>
      <t xml:space="preserve">Website link
</t>
    </r>
    <r>
      <rPr>
        <b/>
        <sz val="10"/>
        <rFont val="Arial"/>
      </rPr>
      <t>- Google Maps Lists &amp; Food Pins</t>
    </r>
    <r>
      <rPr>
        <sz val="10"/>
        <color rgb="FF000000"/>
        <rFont val="Arial"/>
        <scheme val="minor"/>
      </rPr>
      <t xml:space="preserve">
Users can save locations (e.g., restaurants, attractions) directly on Google Maps and create custom lists with pins for easy sharing. It's widely used for food and travel recommendations but lacks customization for non-location-based recommendations.
</t>
    </r>
    <r>
      <rPr>
        <b/>
        <sz val="10"/>
        <rFont val="Arial"/>
      </rPr>
      <t>- Excel/Google Sheets</t>
    </r>
    <r>
      <rPr>
        <sz val="10"/>
        <color rgb="FF000000"/>
        <rFont val="Arial"/>
        <scheme val="minor"/>
      </rPr>
      <t xml:space="preserve">
Many users rely on spreadsheets to compile and organize recommendation lists, adding details like ratings, comments, and links. It’s highly customizable but lacks convenience for quick sharing and an engaging visual format.
</t>
    </r>
    <r>
      <rPr>
        <b/>
        <sz val="10"/>
        <rFont val="Arial"/>
      </rPr>
      <t>- Lemon8</t>
    </r>
    <r>
      <rPr>
        <sz val="10"/>
        <color rgb="FF000000"/>
        <rFont val="Arial"/>
        <scheme val="minor"/>
      </rPr>
      <t xml:space="preserve">
Lemon8 is a social media platform where users can share visual recommendations on food, travel, lifestyle, and more. It’s visually engaging and supports content sharing but is less structured for list creation or easy exporting.
</t>
    </r>
    <r>
      <rPr>
        <u/>
        <sz val="10"/>
        <color rgb="FF1155CC"/>
        <rFont val="Arial"/>
      </rPr>
      <t xml:space="preserve">App Link
</t>
    </r>
    <r>
      <rPr>
        <b/>
        <sz val="10"/>
        <rFont val="Arial"/>
      </rPr>
      <t>- Pinterest</t>
    </r>
    <r>
      <rPr>
        <sz val="10"/>
        <color rgb="FF000000"/>
        <rFont val="Arial"/>
        <scheme val="minor"/>
      </rPr>
      <t xml:space="preserve">
Users create boards to pin ideas, articles, and recommendations across topics. It’s highly visual and suitable for compiling diverse recommendations, but it’s not localized to Singapore-specific content.
</t>
    </r>
    <r>
      <rPr>
        <b/>
        <sz val="10"/>
        <rFont val="Arial"/>
      </rPr>
      <t>- Facebook and Instagram Stories/Highlights</t>
    </r>
    <r>
      <rPr>
        <sz val="10"/>
        <color rgb="FF000000"/>
        <rFont val="Arial"/>
        <scheme val="minor"/>
      </rPr>
      <t xml:space="preserve">
Many users share recommendations via Stories or Highlights, especially on Instagram. While easy to share, the recommendations aren’t structured, searchable, or long-lasting, making it harder to organize or revisit.
- </t>
    </r>
    <r>
      <rPr>
        <b/>
        <sz val="10"/>
        <rFont val="Arial"/>
      </rPr>
      <t xml:space="preserve">SG Weekend Telegram Channel: </t>
    </r>
    <r>
      <rPr>
        <sz val="10"/>
        <color rgb="FF000000"/>
        <rFont val="Arial"/>
        <scheme val="minor"/>
      </rPr>
      <t xml:space="preserve">Provides ideas and updates on events and activities happening over the weekend.
</t>
    </r>
    <r>
      <rPr>
        <u/>
        <sz val="10"/>
        <color rgb="FF1155CC"/>
        <rFont val="Arial"/>
      </rPr>
      <t xml:space="preserve">https://t.me/sgweekend
</t>
    </r>
    <r>
      <rPr>
        <sz val="10"/>
        <color rgb="FF000000"/>
        <rFont val="Arial"/>
        <scheme val="minor"/>
      </rPr>
      <t xml:space="preserve">- </t>
    </r>
    <r>
      <rPr>
        <b/>
        <sz val="10"/>
        <rFont val="Arial"/>
      </rPr>
      <t xml:space="preserve">Singapore Art and Gallery Guide:
</t>
    </r>
    <r>
      <rPr>
        <u/>
        <sz val="10"/>
        <color rgb="FF1155CC"/>
        <rFont val="Arial"/>
      </rPr>
      <t>https://sagg.info/</t>
    </r>
  </si>
  <si>
    <t>1. Recommendations take place in a very specific context: typically when users are asked, as part of an organic conversation with close connections (e.g. family and friends), across a variety of text messaging platforms. 
2. Therefore, when making recommendation lists, convenience is key - users want to make and share their lists as quickly as possible, before the conversation topic moves on. The end-to-end user journey must be as seamless as possible.
3. There are two primary user archetypes, the ‘expert’ and the ‘connaisseur.’ The Expert already has recommendation content in mind for their specific area of passion and wants features (especially links and photo uploads) to support each item being recced. The Connaisseur is passionate about a broad range of passions, so wants features that support storage and organisation of their favourite items for future sharing.</t>
  </si>
  <si>
    <t>I would like to focus on Expert users, as market research suggests this is an under-explored niche (vs apps like Listy and Pinterest, which focus on storage and organisation functionalities that support the Connaisseur persona). My key changes:
1. My UX design should support a simplified, seamless user journey, with visual cues and navigation buttons to guide users to quickly understand how to use the app and what to expect. 
2. I should focus on reducing frictions, e.g. in how users add links to the list and how they share the list back to their original messaging platforms. 
3. Since I am not focusing on storage and organisational needs, a login page may not be needed and would instead add unnecessary friction for my target users.</t>
  </si>
  <si>
    <t>People who frequently do casual, ad-hoc recommendations around their area of passion with close connections (e.g. “weekly roundup of art exhibitions,” “fave tracks this week,” “my top 3 cafes in SG”) need to manually compile and share rec lists, often switching between multiple apps and copy-pasting previously-used templates or lists. This results in additional time spent and inconvenience to this group of ‘power reccers’ because there is no quick and convenient way to make and share rec lists. This problem discourages users from sharing recommendations as frequently and adds unnecessary friction to the process.</t>
  </si>
  <si>
    <t>This web app is a one-stop place to make and share rec lists. In just a few clicks, users can make formatted lists, add external links, then share their lists back to their text messaging platform of choice. It targets people who are known in their close circle as ‘experts’ in a specific area of passion and who desire to share that passion with their loved ones.</t>
  </si>
  <si>
    <t>Get Recced</t>
  </si>
  <si>
    <t>get-recced.com</t>
  </si>
  <si>
    <r>
      <rPr>
        <sz val="10"/>
        <color theme="1"/>
        <rFont val="Arial"/>
      </rPr>
      <t xml:space="preserve">Get Recced is a one-stop shop for making and sharing recommendations with the people you know and love. </t>
    </r>
    <r>
      <rPr>
        <b/>
        <sz val="10"/>
        <color theme="1"/>
        <rFont val="Arial"/>
      </rPr>
      <t>Make</t>
    </r>
    <r>
      <rPr>
        <sz val="10"/>
        <color theme="1"/>
        <rFont val="Arial"/>
      </rPr>
      <t xml:space="preserve"> your </t>
    </r>
    <r>
      <rPr>
        <b/>
        <sz val="10"/>
        <color theme="1"/>
        <rFont val="Arial"/>
      </rPr>
      <t>list</t>
    </r>
    <r>
      <rPr>
        <sz val="10"/>
        <color theme="1"/>
        <rFont val="Arial"/>
      </rPr>
      <t xml:space="preserve">, link your recs, then </t>
    </r>
    <r>
      <rPr>
        <b/>
        <sz val="10"/>
        <color theme="1"/>
        <rFont val="Arial"/>
      </rPr>
      <t>share</t>
    </r>
    <r>
      <rPr>
        <sz val="10"/>
        <color theme="1"/>
        <rFont val="Arial"/>
      </rPr>
      <t xml:space="preserve"> with your connections!</t>
    </r>
  </si>
  <si>
    <t>Environment</t>
  </si>
  <si>
    <t>In Singapore, many residents, especially household adults are uncertain about which materials can be recycled, leading to confusion and improper disposal of waste at residential estates. This lack of knowledge contributes to an increase in non-recyclable items being placed in recycling bins, ultimately reducing the effectiveness of the country’s recycling efforts. Despite Singapore's strong emphasis on sustainability and waste reduction, the disconnect between household families’ understanding and actual recycling practices undermines these initiatives. To support Singapore's goal of becoming a zero-waste nation, it is crucial to enhance public awareness and provide clear, localized information about recyclable materials.</t>
  </si>
  <si>
    <r>
      <rPr>
        <sz val="10"/>
        <rFont val="Arial"/>
      </rPr>
      <t xml:space="preserve">This problem statement generally meets the clarity and depth requirements but can be refined slightly for greater specificity and focus especially:
</t>
    </r>
    <r>
      <rPr>
        <b/>
        <sz val="10"/>
        <rFont val="Arial"/>
      </rPr>
      <t>What's good:</t>
    </r>
    <r>
      <rPr>
        <sz val="10"/>
        <rFont val="Arial"/>
      </rPr>
      <t xml:space="preserve">
✓ Pain points clear (uncertainty about which materials are recyclable, leading to confusion and improper disposal)
✓ Consequences clear (increase in non-recyclable items in recycling bins, reducing the effectiveness of recycling efforts)
✓ Problem depth is appropriate with strong context on Singapore’s sustainability goals and the disconnect between household understanding and recycling practices.
</t>
    </r>
    <r>
      <rPr>
        <b/>
        <sz val="10"/>
        <rFont val="Arial"/>
      </rPr>
      <t>Can be better:</t>
    </r>
    <r>
      <rPr>
        <sz val="10"/>
        <rFont val="Arial"/>
      </rPr>
      <t xml:space="preserve">
</t>
    </r>
    <r>
      <rPr>
        <b/>
        <sz val="10"/>
        <rFont val="Arial"/>
      </rPr>
      <t xml:space="preserve">Target users: </t>
    </r>
    <r>
      <rPr>
        <sz val="10"/>
        <rFont val="Arial"/>
      </rPr>
      <t xml:space="preserve">is it all residents in singapore or specifically adults, households or families?
</t>
    </r>
    <r>
      <rPr>
        <b/>
        <sz val="10"/>
        <rFont val="Arial"/>
      </rPr>
      <t xml:space="preserve">Depth: </t>
    </r>
    <r>
      <rPr>
        <sz val="10"/>
        <rFont val="Arial"/>
      </rPr>
      <t xml:space="preserve">Could be enhanced by providing specific examples of common items that are improperly recycled to illustrate the types of misunderstandings. This would add clarity on the nature of the knowledge gap.
</t>
    </r>
    <r>
      <rPr>
        <b/>
        <sz val="10"/>
        <rFont val="Arial"/>
      </rPr>
      <t xml:space="preserve">Concise: </t>
    </r>
    <r>
      <rPr>
        <sz val="10"/>
        <rFont val="Arial"/>
      </rPr>
      <t xml:space="preserve">A bit lengthy; could be streamlined by reducing phrases that reiterate Singapore’s sustainability focus, as it is mentioned multiple times.
--
</t>
    </r>
    <r>
      <rPr>
        <b/>
        <sz val="10"/>
        <color rgb="FF674EA7"/>
        <rFont val="Arial"/>
      </rPr>
      <t xml:space="preserve">An example below on how to improve problem statement in this format: </t>
    </r>
    <r>
      <rPr>
        <i/>
        <sz val="10"/>
        <rFont val="Arial"/>
      </rPr>
      <t>(Kindly refine problem statement in your own words)</t>
    </r>
    <r>
      <rPr>
        <sz val="10"/>
        <rFont val="Arial"/>
      </rPr>
      <t xml:space="preserve">
[Background context] In Singapore, </t>
    </r>
    <r>
      <rPr>
        <sz val="10"/>
        <color rgb="FF674EA7"/>
        <rFont val="Arial"/>
      </rPr>
      <t xml:space="preserve">many residents in Singapore </t>
    </r>
    <r>
      <rPr>
        <sz val="10"/>
        <rFont val="Arial"/>
      </rPr>
      <t xml:space="preserve">are unsure about which materials can be recycled, causing confusion and improper waste disposal in residential areas.
</t>
    </r>
    <r>
      <rPr>
        <b/>
        <sz val="10"/>
        <rFont val="Arial"/>
      </rPr>
      <t xml:space="preserve">This causes problem for: </t>
    </r>
    <r>
      <rPr>
        <sz val="10"/>
        <rFont val="Arial"/>
      </rPr>
      <t xml:space="preserve">household families in Singapore.
</t>
    </r>
    <r>
      <rPr>
        <b/>
        <sz val="10"/>
        <rFont val="Arial"/>
      </rPr>
      <t xml:space="preserve">because: </t>
    </r>
    <r>
      <rPr>
        <sz val="10"/>
        <rFont val="Arial"/>
      </rPr>
      <t xml:space="preserve">they lack clear guidance on recyclable materials, leading to non-recyclable items being placed in recycling bins and reducing the efficiency of recycling efforts.
</t>
    </r>
    <r>
      <rPr>
        <b/>
        <sz val="10"/>
        <rFont val="Arial"/>
      </rPr>
      <t>This is important because:</t>
    </r>
    <r>
      <rPr>
        <sz val="10"/>
        <rFont val="Arial"/>
      </rPr>
      <t xml:space="preserve"> it undermines Singapore's sustainability initiatives and hampers progress toward the nation’s goal of becoming zero-waste.
--
</t>
    </r>
    <r>
      <rPr>
        <b/>
        <sz val="10"/>
        <color rgb="FF674EA7"/>
        <rFont val="Arial"/>
      </rPr>
      <t>Here’s a useful research study on the challenges of driving sustainability in Singapore that could help guide your proposed solution:</t>
    </r>
    <r>
      <rPr>
        <sz val="10"/>
        <rFont val="Arial"/>
      </rPr>
      <t xml:space="preserve">
</t>
    </r>
    <r>
      <rPr>
        <b/>
        <sz val="10"/>
        <rFont val="Arial"/>
      </rPr>
      <t xml:space="preserve">Fostering Sustainability in Singapore by StudioDojo: </t>
    </r>
    <r>
      <rPr>
        <u/>
        <sz val="10"/>
        <color rgb="FF1155CC"/>
        <rFont val="Arial"/>
      </rPr>
      <t xml:space="preserve">https://www.studiodojo.com/wp-content/uploads/2023/11/Fostering-Sustainability-in-Singapore-Full-Report.pdf
</t>
    </r>
    <r>
      <rPr>
        <sz val="10"/>
        <rFont val="Arial"/>
      </rPr>
      <t xml:space="preserve">--
</t>
    </r>
    <r>
      <rPr>
        <b/>
        <sz val="10"/>
        <color rgb="FFA64D79"/>
        <rFont val="Arial"/>
      </rPr>
      <t>Might need to consider reworking proposed solution:</t>
    </r>
    <r>
      <rPr>
        <b/>
        <sz val="10"/>
        <rFont val="Arial"/>
      </rPr>
      <t xml:space="preserve">
</t>
    </r>
    <r>
      <rPr>
        <b/>
        <sz val="10"/>
        <color rgb="FF674EA7"/>
        <rFont val="Arial"/>
      </rPr>
      <t>There are existing solutions that already provide the functionality of your proposed solution.</t>
    </r>
    <r>
      <rPr>
        <b/>
        <sz val="10"/>
        <rFont val="Arial"/>
      </rPr>
      <t xml:space="preserve">
- Bloobin AI Chatbot: </t>
    </r>
    <r>
      <rPr>
        <sz val="10"/>
        <rFont val="Arial"/>
      </rPr>
      <t xml:space="preserve">Launched by the National Environment Agency (NEA), Bloobin is an AI-powered chatbot available on WhatsApp and Telegram. Users can describe or upload pictures of items to receive immediate feedback on their recyclability. </t>
    </r>
    <r>
      <rPr>
        <u/>
        <sz val="10"/>
        <color rgb="FF1155CC"/>
        <rFont val="Arial"/>
      </rPr>
      <t>Bloobin AI chatbot</t>
    </r>
    <r>
      <rPr>
        <sz val="10"/>
        <rFont val="Arial"/>
      </rPr>
      <t xml:space="preserve">, </t>
    </r>
    <r>
      <rPr>
        <u/>
        <sz val="10"/>
        <color rgb="FF1155CC"/>
        <rFont val="Arial"/>
      </rPr>
      <t xml:space="preserve">Recycling Search Engine </t>
    </r>
    <r>
      <rPr>
        <sz val="10"/>
        <rFont val="Arial"/>
      </rPr>
      <t xml:space="preserve">or </t>
    </r>
    <r>
      <rPr>
        <u/>
        <sz val="10"/>
        <color rgb="FF1155CC"/>
        <rFont val="Arial"/>
      </rPr>
      <t>Bloobin’s Recycling Guide</t>
    </r>
    <r>
      <rPr>
        <sz val="10"/>
        <rFont val="Arial"/>
      </rPr>
      <t xml:space="preserve">. 
- To report issues on recycling bins, there are existing channels e.g </t>
    </r>
    <r>
      <rPr>
        <u/>
        <sz val="10"/>
        <color rgb="FF1155CC"/>
        <rFont val="Arial"/>
      </rPr>
      <t>OneService Platform</t>
    </r>
    <r>
      <rPr>
        <sz val="10"/>
        <rFont val="Arial"/>
      </rPr>
      <t xml:space="preserve"> &amp; </t>
    </r>
    <r>
      <rPr>
        <u/>
        <sz val="10"/>
        <color rgb="FF1155CC"/>
        <rFont val="Arial"/>
      </rPr>
      <t>NEA's feedback from</t>
    </r>
  </si>
  <si>
    <t>Interviewed 2 target users, 1 working adult aged 35 years old and 1 senior citizen aged 61 years old, both are HDB home owners. Key insights from the interview included:
1. Working Adults
a. Generally tech savvy and hence able to resource information by a quick search on the internet on recycling info.
b. No problem navigating through different pages of websites to the specific page for info.
b. They are also literate and able to understand the recycling guidelines that are shared on AI bot/ websites/PDF file and posters pasted on physical recycling bins/ chutes printed in English language.
2. Senior Citizens (aged &gt;60 years)
a. Less tech savvy and find it difficult to leverage on the existing tools available (AI bots, navigate to the appropriate NEA's page or type long sentences in English for feedback) to search for recycling info.
b. English language is used as the main medium in the existing resources. Being less conversant and proficient in English language and more comfortable in their own mother tongue language (i.e. Chinese language), user find it hard to understand the info presented.</t>
  </si>
  <si>
    <t>- To scope the target users to senior citizens (&gt;60 years old) instead who find it difficult to source for info currently. 
- To develop a web app with easy to use features/ dropdown list. 
- To introduce multi language web pages (i.e. Chinese language) to cater for senior citizens who may not be proficient in English language.</t>
  </si>
  <si>
    <t xml:space="preserve">In Singapore, senior citizens find it difficult to understand which materials can be recycled, causing confusion and improper disposal of waste at residential estates. This results in an increase in non-recyclable items being placed in recycling bins. This is important because it undermines Singapore's sustainability initiatives and hampers progress toward the nation’s goal of becoming zero-waste. </t>
  </si>
  <si>
    <r>
      <rPr>
        <b/>
        <strike/>
        <u/>
        <sz val="10"/>
        <color theme="1"/>
        <rFont val="Arial"/>
      </rPr>
      <t xml:space="preserve">This is not Mary's: </t>
    </r>
    <r>
      <rPr>
        <strike/>
        <sz val="10"/>
        <color theme="1"/>
        <rFont val="Arial"/>
      </rPr>
      <t xml:space="preserve">The app is designed to be versatile, so users can use it in various settings—at home to make creative drinks with their own ingredients or in bars to quickly decide on a drink that suits their mood and preferences. By removing the hassle of searching for drinks that meet specific needs, the app not only reduces decision fatigue but also enhances the social experience by helping users find drinks that align with their tastes and lifestyles. For added fun, the app also suggests games or activities that pair well with each drink, making gatherings more engaging and inclusive.
</t>
    </r>
    <r>
      <rPr>
        <b/>
        <u/>
        <sz val="10"/>
        <color theme="1"/>
        <rFont val="Arial"/>
      </rPr>
      <t>Mary's:</t>
    </r>
    <r>
      <rPr>
        <sz val="10"/>
        <color theme="1"/>
        <rFont val="Arial"/>
      </rPr>
      <t xml:space="preserve"> To address the recycling confusion faced by senior citizens in Singapore, I propose a user-friendly web application designed to provide clear, accessible recycling information. This web app will empower senior citizens to understand which materials are recyclable, reducing waste contamination and contributing positively to Singapore’s sustainability goals. Key features include:
- An intuitive interface for senior citizens to quickly find recycling information for specific items
- Clear categorization of recyclable and non-recyclable items
- Information on the type of recycling bins to use for recyclable items
- Multi-language support</t>
    </r>
  </si>
  <si>
    <t>Recycle Lah</t>
  </si>
  <si>
    <t>www.recyclelah.org</t>
  </si>
  <si>
    <t>A user-friendly web application designed to provide clear, accessible recycling information to senior citizens. 
Key features include:
- An intuitive interface for senior citizens to quickly find recycling information for specific items
- Clear categorization of recyclable and non-recyclable items
- Information on the type of recycling bins to use for recyclable items
- Multi-language support</t>
  </si>
  <si>
    <r>
      <rPr>
        <sz val="10"/>
        <color theme="1"/>
        <rFont val="Arial"/>
      </rPr>
      <t xml:space="preserve">1. Target users:  working mothers, children, family 
2. Problem statement - have to decide if actual users is the Mum or the children.   
</t>
    </r>
    <r>
      <rPr>
        <b/>
        <sz val="10"/>
        <color theme="1"/>
        <rFont val="Arial"/>
      </rPr>
      <t xml:space="preserve">What's good:
</t>
    </r>
    <r>
      <rPr>
        <sz val="10"/>
        <color theme="1"/>
        <rFont val="Arial"/>
      </rPr>
      <t xml:space="preserve">✓ </t>
    </r>
    <r>
      <rPr>
        <b/>
        <sz val="10"/>
        <color theme="1"/>
        <rFont val="Arial"/>
      </rPr>
      <t xml:space="preserve">Target users </t>
    </r>
    <r>
      <rPr>
        <sz val="10"/>
        <color theme="1"/>
        <rFont val="Arial"/>
      </rPr>
      <t xml:space="preserve">clear (working mothers who need quick meal solutions for their children)
✓ </t>
    </r>
    <r>
      <rPr>
        <b/>
        <sz val="10"/>
        <color theme="1"/>
        <rFont val="Arial"/>
      </rPr>
      <t>Pain points</t>
    </r>
    <r>
      <rPr>
        <sz val="10"/>
        <color theme="1"/>
        <rFont val="Arial"/>
      </rPr>
      <t xml:space="preserve"> clear (limited time to cook after work, need for child-friendly recipes that cater to preferences and allergies, and meals that children can warm up themselves)
✓ </t>
    </r>
    <r>
      <rPr>
        <b/>
        <sz val="10"/>
        <color theme="1"/>
        <rFont val="Arial"/>
      </rPr>
      <t>Consequences</t>
    </r>
    <r>
      <rPr>
        <sz val="10"/>
        <color theme="1"/>
        <rFont val="Arial"/>
      </rPr>
      <t xml:space="preserve"> clear (reliance on limited, repetitive meal options; children become bored with meals, lose appetite, and may not eat well)
✓</t>
    </r>
    <r>
      <rPr>
        <b/>
        <sz val="10"/>
        <color theme="1"/>
        <rFont val="Arial"/>
      </rPr>
      <t xml:space="preserve"> Problem dept</t>
    </r>
    <r>
      <rPr>
        <sz val="10"/>
        <color theme="1"/>
        <rFont val="Arial"/>
      </rPr>
      <t xml:space="preserve">h is appropriate with context around busy schedules and the need for meals that meet both time constraints and dietary considerations for children.
</t>
    </r>
    <r>
      <rPr>
        <b/>
        <sz val="10"/>
        <color theme="1"/>
        <rFont val="Arial"/>
      </rPr>
      <t>Could do better:</t>
    </r>
    <r>
      <rPr>
        <sz val="10"/>
        <color theme="1"/>
        <rFont val="Arial"/>
      </rPr>
      <t xml:space="preserve">
</t>
    </r>
    <r>
      <rPr>
        <b/>
        <sz val="10"/>
        <color theme="1"/>
        <rFont val="Arial"/>
      </rPr>
      <t xml:space="preserve">- Depth: </t>
    </r>
    <r>
      <rPr>
        <sz val="10"/>
        <color theme="1"/>
        <rFont val="Arial"/>
      </rPr>
      <t xml:space="preserve">Could be enhanced by specifying common dietary restrictions or examples of child-friendly options that working mothers typically rely on, to illustrate the meal limitations more vividly.
- </t>
    </r>
    <r>
      <rPr>
        <b/>
        <sz val="10"/>
        <color theme="1"/>
        <rFont val="Arial"/>
      </rPr>
      <t xml:space="preserve">Concise: </t>
    </r>
    <r>
      <rPr>
        <sz val="10"/>
        <color theme="1"/>
        <rFont val="Arial"/>
      </rPr>
      <t xml:space="preserve">Slightly verbose, can be more direct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In Singapore, working mothers need easy, pre-prepared dinner ideas that cater to children’s preferences, allergies, and dietary needs, allowing kids to reheat meals themselves.
</t>
    </r>
    <r>
      <rPr>
        <b/>
        <sz val="10"/>
        <color theme="1"/>
        <rFont val="Arial"/>
      </rPr>
      <t xml:space="preserve">This causes problem for: </t>
    </r>
    <r>
      <rPr>
        <sz val="10"/>
        <color theme="1"/>
        <rFont val="Arial"/>
      </rPr>
      <t xml:space="preserve">time-pressed working mothers with limited meal options.
</t>
    </r>
    <r>
      <rPr>
        <b/>
        <sz val="10"/>
        <color theme="1"/>
        <rFont val="Arial"/>
      </rPr>
      <t>because:</t>
    </r>
    <r>
      <rPr>
        <sz val="10"/>
        <color theme="1"/>
        <rFont val="Arial"/>
      </rPr>
      <t xml:space="preserve"> they often don’t have time to cook after commuting from work and end up relying on limited, tried-and-tested recipes that fit their children’s dietary restrictions, such as halal, vegetarian, dairy-free, or nut-free meals. With their busy schedules, they lack the time to explore new options, limiting child-friendly meals that are simple, nutritious, allergy-safe, and appealing.
</t>
    </r>
    <r>
      <rPr>
        <b/>
        <sz val="10"/>
        <color theme="1"/>
        <rFont val="Arial"/>
      </rPr>
      <t>This is important because: i</t>
    </r>
    <r>
      <rPr>
        <sz val="10"/>
        <color theme="1"/>
        <rFont val="Arial"/>
      </rPr>
      <t>t leads to repetitive, boring meals, causing children to lose interest in eating well, which affects both their nutrition and meal enjoyment.</t>
    </r>
  </si>
  <si>
    <r>
      <rPr>
        <sz val="11"/>
        <color theme="1"/>
        <rFont val="Calibri"/>
      </rPr>
      <t>This is not Jocelyn Teo's : 
U</t>
    </r>
    <r>
      <rPr>
        <strike/>
        <sz val="11"/>
        <color theme="1"/>
        <rFont val="Calibri"/>
      </rPr>
      <t xml:space="preserve">sers frequently expressed frustration with the decision-making process when choosing drinks, especially when trying to balance taste preferences with dietary goals like calorie limits. This led to a realization that the core issue isn’t just inclusivity but also the mental load of finding a drink that satisfies specific criteria without extensive searching.
</t>
    </r>
    <r>
      <rPr>
        <sz val="11"/>
        <color theme="1"/>
        <rFont val="Calibri"/>
      </rPr>
      <t xml:space="preserve">
</t>
    </r>
    <r>
      <rPr>
        <b/>
        <sz val="11"/>
        <color theme="1"/>
        <rFont val="Calibri"/>
      </rPr>
      <t>Jocelyn ( my previous entries were deleted) ;(.  Interviewed 3 working mums with children under 12yrs)</t>
    </r>
    <r>
      <rPr>
        <sz val="11"/>
        <color theme="1"/>
        <rFont val="Calibri"/>
      </rPr>
      <t xml:space="preserve">
1. want simple and easy to prepare recipes, 30 mins or less.  need info on asian cusine. some websites have allergen free recipes but more western. 
2. want suggestions on places to go and buy and not just recipes. can go on weekends, or buy on way home 
3. common allergies like dairy, seafood, nuts.  like to hear new ideas and recommendations.</t>
    </r>
  </si>
  <si>
    <t xml:space="preserve">Changes: 
Web App will be an MVP - on my blog - curated sites, link . this can be a a ogod way to start - to test out and refine later. bec based on further online research, there are some good sites I would recommend to friends. 
1. Focus on Asian cusine , easy to prepare receipes (ie less than 30mins), can link some some existing sites first. 
2. provide a feedback form for users to share ideas, recommendations on food places
3. links to allergy friendly food places
</t>
  </si>
  <si>
    <r>
      <rPr>
        <b/>
        <sz val="10"/>
        <color theme="1"/>
        <rFont val="Arial"/>
      </rPr>
      <t xml:space="preserve">This is not Jocelyn's: </t>
    </r>
    <r>
      <rPr>
        <sz val="10"/>
        <color theme="1"/>
        <rFont val="Arial"/>
      </rPr>
      <t xml:space="preserve"> </t>
    </r>
    <r>
      <rPr>
        <strike/>
        <sz val="10"/>
        <color theme="1"/>
        <rFont val="Arial"/>
      </rPr>
      <t>This issue is significant because it leads to increased food waste, higher grocery costs, and reliance on less nutritious meals, which undermine both personal health goals and broader sustainability efforts, particularly when trying to instill healthy eating habits in children</t>
    </r>
    <r>
      <rPr>
        <sz val="10"/>
        <color theme="1"/>
        <rFont val="Arial"/>
      </rPr>
      <t xml:space="preserve">
</t>
    </r>
    <r>
      <rPr>
        <b/>
        <sz val="10"/>
        <color theme="1"/>
        <rFont val="Arial"/>
      </rPr>
      <t xml:space="preserve">Jocelyn's Problem statement 2nd iteration: </t>
    </r>
    <r>
      <rPr>
        <sz val="10"/>
        <color theme="1"/>
        <rFont val="Arial"/>
      </rPr>
      <t xml:space="preserve">
Working mums have little time (less than 30mins) to prepare dinner for their children when they return from work in the evening . They need simple to prepare receipes to cater to the children's preferences and allergies which they cooked or pre cooked for re-heating later.   With busy schedule, working mums relied on tried-and tested meals (e.g fried rice, grilled chicken) as they don't have time to look for new ideas. Children ends up being bored with the meals, loses appetite and don't eat well. This could affect their health and growth.  
</t>
    </r>
  </si>
  <si>
    <t xml:space="preserve">Jocelyn :  
1. include link to foodie website for allergy friendly food places, substitues
2. simple recipes that take 30mins or less to prepare
3. more asian cusine  
</t>
  </si>
  <si>
    <t>www.food-genie.com</t>
  </si>
  <si>
    <t>a MVP website showing my blog, curated sources of allergy friendly recipes and food places</t>
  </si>
  <si>
    <t>Working parents are busy, and  infants/toddlers require constant attention and stimulation. It is impossible for parents to physically be with our kids all the time, and even when we are, we struggle to be constantly upbeat, informative, and present after a long day. Exposure to language at an early age has a dramatic effect on the cognitive development and life outcomes of children.  
This places parents in an impossible conundrum - how can parents focus on their work and personal pursuits, without neglecting crucial developmental hours for their children? The current alternatives available - ranging from childcare, helpers, and screens are all imperfect substitutes which are either expensive, non-bespoke, or face other drawbacks such as screen addiction.</t>
  </si>
  <si>
    <r>
      <rPr>
        <b/>
        <sz val="10"/>
        <color theme="1"/>
        <rFont val="Arial"/>
      </rPr>
      <t xml:space="preserve">Problem Statement
What's good:
</t>
    </r>
    <r>
      <rPr>
        <sz val="10"/>
        <color theme="1"/>
        <rFont val="Arial"/>
      </rPr>
      <t xml:space="preserve">✓ </t>
    </r>
    <r>
      <rPr>
        <b/>
        <sz val="10"/>
        <color theme="1"/>
        <rFont val="Arial"/>
      </rPr>
      <t>Target users</t>
    </r>
    <r>
      <rPr>
        <sz val="10"/>
        <color theme="1"/>
        <rFont val="Arial"/>
      </rPr>
      <t xml:space="preserve"> clear (working parents with infants or toddlers who need constant attention and stimulation)
</t>
    </r>
    <r>
      <rPr>
        <sz val="10"/>
        <color rgb="FFA64D79"/>
        <rFont val="Arial"/>
      </rPr>
      <t xml:space="preserve">Are target users based in Singapore? </t>
    </r>
    <r>
      <rPr>
        <sz val="10"/>
        <color theme="1"/>
        <rFont val="Arial"/>
      </rPr>
      <t xml:space="preserve">
✓</t>
    </r>
    <r>
      <rPr>
        <b/>
        <sz val="10"/>
        <color theme="1"/>
        <rFont val="Arial"/>
      </rPr>
      <t xml:space="preserve"> Pain points</t>
    </r>
    <r>
      <rPr>
        <sz val="10"/>
        <color theme="1"/>
        <rFont val="Arial"/>
      </rPr>
      <t xml:space="preserve"> clear (limited time and energy to engage children consistently, balancing work and personal time with children's developmental needs)
✓ </t>
    </r>
    <r>
      <rPr>
        <b/>
        <sz val="10"/>
        <color theme="1"/>
        <rFont val="Arial"/>
      </rPr>
      <t xml:space="preserve">Consequences </t>
    </r>
    <r>
      <rPr>
        <sz val="10"/>
        <color theme="1"/>
        <rFont val="Arial"/>
      </rPr>
      <t xml:space="preserve">clear (risk of missed cognitive developmental opportunities for children, reliance on imperfect alternatives like childcare, helpers, or screens)
✓ </t>
    </r>
    <r>
      <rPr>
        <b/>
        <sz val="10"/>
        <color theme="1"/>
        <rFont val="Arial"/>
      </rPr>
      <t>Problem depth is appropriate</t>
    </r>
    <r>
      <rPr>
        <sz val="10"/>
        <color theme="1"/>
        <rFont val="Arial"/>
      </rPr>
      <t xml:space="preserve"> with good context on the importance of language exposure and cognitive development, showing the long-term implications for children.
</t>
    </r>
    <r>
      <rPr>
        <b/>
        <sz val="10"/>
        <color theme="1"/>
        <rFont val="Arial"/>
      </rPr>
      <t xml:space="preserve">Can be better:
</t>
    </r>
    <r>
      <rPr>
        <sz val="10"/>
        <color theme="1"/>
        <rFont val="Arial"/>
      </rPr>
      <t xml:space="preserve">- </t>
    </r>
    <r>
      <rPr>
        <b/>
        <sz val="10"/>
        <color theme="1"/>
        <rFont val="Arial"/>
      </rPr>
      <t>Be more concise</t>
    </r>
    <r>
      <rPr>
        <sz val="10"/>
        <color theme="1"/>
        <rFont val="Arial"/>
      </rPr>
      <t xml:space="preserve"> by paraphrasing into problem statement format
</t>
    </r>
    <r>
      <rPr>
        <b/>
        <sz val="10"/>
        <color theme="1"/>
        <rFont val="Arial"/>
      </rPr>
      <t xml:space="preserve">[Background context] </t>
    </r>
    <r>
      <rPr>
        <sz val="10"/>
        <color theme="1"/>
        <rFont val="Arial"/>
      </rPr>
      <t xml:space="preserve">This causes problem for: [user group]
</t>
    </r>
    <r>
      <rPr>
        <b/>
        <sz val="10"/>
        <color theme="1"/>
        <rFont val="Arial"/>
      </rPr>
      <t>because:</t>
    </r>
    <r>
      <rPr>
        <sz val="10"/>
        <color theme="1"/>
        <rFont val="Arial"/>
      </rPr>
      <t xml:space="preserve"> [how or why it affects the user]
</t>
    </r>
    <r>
      <rPr>
        <b/>
        <sz val="10"/>
        <color theme="1"/>
        <rFont val="Arial"/>
      </rPr>
      <t xml:space="preserve">This is important because: </t>
    </r>
    <r>
      <rPr>
        <sz val="10"/>
        <color theme="1"/>
        <rFont val="Arial"/>
      </rPr>
      <t xml:space="preserve">[impact of problem]
--
</t>
    </r>
    <r>
      <rPr>
        <b/>
        <sz val="10"/>
        <color theme="1"/>
        <rFont val="Arial"/>
      </rPr>
      <t xml:space="preserve">Some considerations for Proposed solution:
</t>
    </r>
    <r>
      <rPr>
        <sz val="10"/>
        <color theme="1"/>
        <rFont val="Arial"/>
      </rPr>
      <t>- Language: Is it in English?
- Is it able to have a knowledge base with the parents' response integrated into the AI 'talkbot'
- Is the AI 'talkbot' able to have voiceover capabilities of the parents' voice/accent?</t>
    </r>
  </si>
  <si>
    <t>I interviewed 2 working parents, who are the target users of the app.
Key Insights from User Interviews:
1. IoT Integration is Unnecessary
Parents prefer a simple web app over complex IoT integration, emphasizing accessibility without extra hardware.
2. Focused, Purpose-Driven Bots
Parents want specific bots (e.g., Storytelling Bot, Emotions Bot) for targeted learning, rather than a general-purpose solution. This focused approach aligns better with kids’ developmental needs.
3. Clear Educational Goals
Parents favor bots that support specific skills like early math or emotional awareness, making interactions more engaging and impactful.
4. Simplicity and Ease of Use
Busy parents prioritize straightforward, easy-to-access solutions with minimal setup.
5. Parental Involvement and Insights
Parents want a “dashboard” feature to monitor their child’s interactions and developmental progress, helping them stay connected and informed.</t>
  </si>
  <si>
    <t>Changes Based on Interview Insights:
1. Focus on Web App Only
Drop IoT integration and keep the app simple, accessible across devices without extra hardware.
2. Create Specialized Bots
Offer focused bots (e.g., Storytelling Bot, Emotions Bot, Question-and-Answer Bot) so parents can pick based on their child’s needs.
3. Add Developmental Goal Customization
Allow parents to choose specific educational themes (e.g., language, math, emotions) for more relevant learning.
4. Streamline User Experience
Simplify the app setup and navigation for quick, easy use.
5. Add Parent Dashboard
Include a dashboard to show engagement insights, helping parents stay informed on their child’s progress.</t>
  </si>
  <si>
    <t>Working parents are busy, and infants/toddlers require constant attention and stimulation. It's challenging for parents to always be fully present and engaged, especially after a long day. Exposure to focused, language-rich interactions significantly benefits a child’s cognitive development and future outcomes. However, traditional solutions like childcare, screen time, or occasional interactions lack personalization and often don’t meet specific developmental needs.
Parents need an accessible, customizable tool that can provide targeted educational and developmental support for their children. This tool should offer specific, engaging learning experiences (e.g., storytelling, emotional awareness, early math) without the drawbacks of complex setups or screen dependency. By providing tailored activities that encourage language and cognitive growth, parents can ensure valuable learning even when they’re occupied with work or personal pursuits.</t>
  </si>
  <si>
    <t>A web-based AI talkbot app that provides focused, customizable educational support for young children. Instead of a general-purpose bot, parents can select from specific “bots” designed for different learning goals, such as a Storytelling Bot for language development, an Emotions Bot for emotional awareness, or a Numbers and Colors Bot for early math skills. Each bot would deliver targeted, interactive activities that engage children in developmentally beneficial ways.
The app will include a simple setup, accessible across devices, without the need for additional hardware. Parents can customize each bot to match their child’s developmental stage and interests, ensuring a more relevant experience. Additionally, a parent dashboard will provide insights into the child’s engagement and learning progress, allowing parents to feel connected and informed. This streamlined, focused solution supports busy parents in fostering their child’s growth, even when they can’t be fully present.</t>
  </si>
  <si>
    <t>Oliver's Magical Friends</t>
  </si>
  <si>
    <r>
      <rPr>
        <u/>
        <sz val="10"/>
        <color rgb="FF1155CC"/>
        <rFont val="Arial"/>
      </rPr>
      <t>https://ollies-magical-friends.xyz</t>
    </r>
    <r>
      <rPr>
        <sz val="10"/>
        <color rgb="FF000000"/>
        <rFont val="Arial"/>
        <scheme val="minor"/>
      </rPr>
      <t xml:space="preserve"> 
Note: requires login. 
User: </t>
    </r>
    <r>
      <rPr>
        <b/>
        <sz val="10"/>
        <rFont val="Arial"/>
      </rPr>
      <t>admin</t>
    </r>
    <r>
      <rPr>
        <sz val="10"/>
        <color rgb="FF000000"/>
        <rFont val="Arial"/>
        <scheme val="minor"/>
      </rPr>
      <t xml:space="preserve">
Password: </t>
    </r>
    <r>
      <rPr>
        <b/>
        <sz val="10"/>
        <rFont val="Arial"/>
      </rPr>
      <t xml:space="preserve">techuprocks! </t>
    </r>
    <r>
      <rPr>
        <sz val="10"/>
        <color rgb="FF000000"/>
        <rFont val="Arial"/>
        <scheme val="minor"/>
      </rPr>
      <t xml:space="preserve">
</t>
    </r>
  </si>
  <si>
    <r>
      <rPr>
        <sz val="10"/>
        <color theme="1"/>
        <rFont val="Arial"/>
      </rPr>
      <t xml:space="preserve">A web application that leverages the latest AI technology to provide near-human-like interactions for children (aged ~2 years) to play with and learn about the world. The app is developed for working parents and their children, to provide a soure of interaction, education and support.  
The MVP comprising 3 AI conversation bots leveraging OpenAI's latest realtime speech-to-speech API. Children can connect and converse with the bots directly. 
1. </t>
    </r>
    <r>
      <rPr>
        <b/>
        <sz val="10"/>
        <color theme="1"/>
        <rFont val="Arial"/>
      </rPr>
      <t xml:space="preserve">Storytime Stacy </t>
    </r>
    <r>
      <rPr>
        <sz val="10"/>
        <color theme="1"/>
        <rFont val="Arial"/>
      </rPr>
      <t xml:space="preserve">is a nurturing "nanny-like" figure customized to serve as a source of advice, comfort and guidance. 
2. </t>
    </r>
    <r>
      <rPr>
        <b/>
        <sz val="10"/>
        <color theme="1"/>
        <rFont val="Arial"/>
      </rPr>
      <t xml:space="preserve">Comrade Charlie </t>
    </r>
    <r>
      <rPr>
        <sz val="10"/>
        <color theme="1"/>
        <rFont val="Arial"/>
      </rPr>
      <t xml:space="preserve">is a Chinese tutor that will converse with, and teach the child basic Chinese words. 
3. </t>
    </r>
    <r>
      <rPr>
        <b/>
        <sz val="10"/>
        <color theme="1"/>
        <rFont val="Arial"/>
      </rPr>
      <t xml:space="preserve">Buddy Boba </t>
    </r>
    <r>
      <rPr>
        <sz val="10"/>
        <color theme="1"/>
        <rFont val="Arial"/>
      </rPr>
      <t xml:space="preserve">is an age-matched friend that acts as a peer and confidante. 
Conversation logs are (a) transcribed using the Whisper model, (b) summarised using OpenAI's gpt-4o API, and (c) stored in a Parent Dashboard database that parents can use to review conversations their children have with the talkbots. </t>
    </r>
  </si>
  <si>
    <r>
      <rPr>
        <sz val="10"/>
        <color theme="1"/>
        <rFont val="Arial"/>
      </rPr>
      <t xml:space="preserve">[Revised] There are many different types of team building activities for employees to participate in. However, when team welfare representatives/officers need to find and plan these activities for their divisions' team bonding day, they need to search across multiple sources online due to a lack of a centralised platform that consolidates activities based on factors/preferences (e.g. activity type, cost). This results in additional work and time spent by welfare reps/officers to search and manually consolidate the activities based on certain factors/preferences, which is inefficient and lowers productivity. 
</t>
    </r>
    <r>
      <rPr>
        <sz val="10"/>
        <color rgb="FF999999"/>
        <rFont val="Arial"/>
      </rPr>
      <t>[Prev] Employees/teams need to search across various sources online to find/sieve out team building activities. This results in additional work and time spent on searching and manually consolidating team building activities to pick and decide based on certain factors/preferences such as cost, activity type.</t>
    </r>
  </si>
  <si>
    <r>
      <rPr>
        <sz val="10"/>
        <color theme="1"/>
        <rFont val="Arial"/>
      </rPr>
      <t xml:space="preserve">Problem statement is mostly clear but can be further refined for clarity and depth:
- Target users: 'Employees/teams' are a bit vague and can benefit to be more specific (e.g. HR team members? team leads?)
- Pain points: Would be helpful to clarity </t>
    </r>
    <r>
      <rPr>
        <b/>
        <sz val="10"/>
        <color theme="1"/>
        <rFont val="Arial"/>
      </rPr>
      <t>why</t>
    </r>
    <r>
      <rPr>
        <sz val="10"/>
        <color theme="1"/>
        <rFont val="Arial"/>
      </rPr>
      <t xml:space="preserve"> they are looking at multiple sources (e.g. lack of centralised platform?), and </t>
    </r>
    <r>
      <rPr>
        <b/>
        <sz val="10"/>
        <color theme="1"/>
        <rFont val="Arial"/>
      </rPr>
      <t>when</t>
    </r>
    <r>
      <rPr>
        <sz val="10"/>
        <color theme="1"/>
        <rFont val="Arial"/>
      </rPr>
      <t xml:space="preserve"> this process happens
- Consequences: Can explore going a bit deeper by explaining the </t>
    </r>
    <r>
      <rPr>
        <b/>
        <sz val="10"/>
        <color theme="1"/>
        <rFont val="Arial"/>
      </rPr>
      <t>impact</t>
    </r>
    <r>
      <rPr>
        <sz val="10"/>
        <color theme="1"/>
        <rFont val="Arial"/>
      </rPr>
      <t xml:space="preserve"> of additional work and time spent ie. lowered productivity
- Depth: good overview but consider drilling into the root causes and specific needs</t>
    </r>
  </si>
  <si>
    <t>Interviewed 2 working young adults and gathered the following insights:
1. The consolidation of teambuilding activities in a single platform is useful to quickly search and generate activities based on the filter fields/options, alongside a simple user interface. 
2. In addition to the filter fields/options in my prototype, there were suggestions to also include information on location and duration of activity. 
3. Another suggestion included having a recommendation section in the webpage showing suggestions of popular selections or certain popular/trendy activities.</t>
  </si>
  <si>
    <t xml:space="preserve">The webpage will have a simple user interface with easily accessible search bars and filter fields for users to easily search and receive recommendations on their team building activities. The reccomended activities generated after the user applies the filters will also include information such as location and duration of activity. </t>
  </si>
  <si>
    <t>There are many different types of team building activities for employees to participate in. However, when team welfare representatives/officers need to find and plan these activities for their divisions' team bonding day, they need to search across multiple sources online due to a lack of a centralised platform that consolidates activities based on factors/preferences (e.g. activity type, cost). This results in additional work and time spent by welfare reps/officers to search and manually consolidate the activities based on certain factors/preferences, which is inefficient and lowers productivity.</t>
  </si>
  <si>
    <t>The web app aims to consolidate team building activities and generate activity options based on fields/preferences such as activity type, cost and team size. These filter fields will have a drop-down menu for users (welfare representative/officers) for e.g. activity type (adventure/outdoor, educational, indoor), cost ($0 to $20, $20 to $40, $40 and above) and team size (3/4 to 10 pax, 10 to 20 pax, 20 pax and above).</t>
  </si>
  <si>
    <r>
      <rPr>
        <sz val="10"/>
        <color theme="1"/>
        <rFont val="Arial"/>
      </rPr>
      <t xml:space="preserve">This problem statement is clear, well-targeted, and provides appropriate depth with specific target users, pain points, and consequences.
</t>
    </r>
    <r>
      <rPr>
        <b/>
        <sz val="10"/>
        <color theme="1"/>
        <rFont val="Arial"/>
      </rPr>
      <t xml:space="preserve">Considerations
</t>
    </r>
    <r>
      <rPr>
        <sz val="10"/>
        <color theme="1"/>
        <rFont val="Arial"/>
      </rPr>
      <t>🤔Avoid including the solution (centralised platform that consolidates nearby options) in the problem statement
🤔Are there any specific types of parents?
🤔How important is it for parents to feel that this time is being used “productively”? Is this a major pain point, or are there other frustrations that are more pressing?</t>
    </r>
  </si>
  <si>
    <t xml:space="preserve">The user noted that it is currently easier to find cafes and places of interest using Google Maps, as it also provides reviews and ratings. However, she expressed interest in the ability to search for courses eligible for SkillsFuture credits by location. She highlighted this as a pain point with the existing SkillsFuture website, which does not offer location-based search functionality. Additionally, the user expressed a desire to find courses offered by other private providers, such as Community Centres or private companies like ABC Cooking Studio or Sony Photography. She mentioned that neither Google Maps nor the SkillsFuture website supports this type of course-specific search by location.
</t>
  </si>
  <si>
    <r>
      <rPr>
        <sz val="10"/>
        <color theme="1"/>
        <rFont val="Arial"/>
      </rPr>
      <t xml:space="preserve">1. Remove Cafe and Sports Facilities Search: </t>
    </r>
    <r>
      <rPr>
        <sz val="10"/>
        <color theme="1"/>
        <rFont val="Arial"/>
      </rPr>
      <t xml:space="preserve">Drop these features since Google Maps handles them well, allowing the app to focus solely on location-based course discovery.
</t>
    </r>
    <r>
      <rPr>
        <sz val="10"/>
        <color theme="1"/>
        <rFont val="Arial"/>
      </rPr>
      <t xml:space="preserve">2. Focus on Location-Based SkillsFuture Course Search: </t>
    </r>
    <r>
      <rPr>
        <sz val="10"/>
        <color theme="1"/>
        <rFont val="Arial"/>
      </rPr>
      <t xml:space="preserve">Prioritise location search for SkillsFuture courses to address the lack of this feature on the SkillsFuture website.
</t>
    </r>
    <r>
      <rPr>
        <sz val="10"/>
        <color theme="1"/>
        <rFont val="Arial"/>
      </rPr>
      <t>3. Expand to Private Course Providers:</t>
    </r>
    <r>
      <rPr>
        <sz val="10"/>
        <color theme="1"/>
        <rFont val="Arial"/>
      </rPr>
      <t xml:space="preserve"> Include private providers like ABC Cooking Studio and community centres, broadening course options beyond SkillsFuture.
</t>
    </r>
  </si>
  <si>
    <t>Parents in Singapore who accompany their children to weekend tuition classes often have hours of idle waiting time. Many would like to use this time meaningfully, whether through personal enrichment, relaxation, or other nearby activities. However, without an easy way to discover options based on their location, these parents find it challenging to plan productive or enjoyable activities during these waiting hours.</t>
  </si>
  <si>
    <t xml:space="preserve">1. Discover SkillsFuture-eligible courses based on their location, addressing a limitation of the SkillsFuture website.
2. Filter and sort course results by proximity, helping parents utilise their free time effectively by finding learning options nearby.
3. Explore additional course options from private providers and community centres, offering a wider range of learning opportunities.
</t>
  </si>
  <si>
    <t>Parent GoWhere</t>
  </si>
  <si>
    <t>parentgowhere.com</t>
  </si>
  <si>
    <t xml:space="preserve">This Web App will allow parents to:
1. Discover SkillsFuture-eligible courses based on their location
2. Filter and sort course results by proximity, helping parents utilise their free time effectively by finding learning options nearby
</t>
  </si>
  <si>
    <t>Users saw potential in the app - citing the compilation useful and a good one-stop-shop option, especially with so many OD frameworks floating about in the knowledge space (both in their own minds and out there). 
Potentially recommend this website to be used not just by leaders, but by all staff. Hence consider the scalability of the content, and accessibility to ensure that staff who have not undergone the leadership programmes can understand the theories and explanations.
There was a "Wow" reaction on first view of the web app (i think the aesthetics helped with first impression).</t>
  </si>
  <si>
    <t>Consider how to distinguish between the Articles and Resources tab - i.e. articles solely dedicated to live stream of articles from the web. Resources dedicated to tools and actual materials that could be downloaded/used for internal training and learning. 
[to include a user guide on how to utilise the website tabs]
How to best organise the frameworks [alphabetically + thematic option]
Inclusion of a curated set of frameworks depending on their problem/ choice of theme. [i.e. through the links provided on Homepage]</t>
  </si>
  <si>
    <t>Senior-level leaders (e.g. Directors) across our organisation recognise the value of OD frameworks learned during leadership courses and see substantial potential in applying them to enhance organisational effectiveness and foster cohesive teams.
However, there are so many useful frameworks to remember and they are taught in a short span of time that makes retention difficult; let alone knowing what frameworks to use for the appropriate context. They find it challenging to consolidate and remember all the frameworks they encounter, which makes practical application inconsistent and difficult to sustain. 
When leaders fail to use OD frameworks effectively, their teams experience unclear guidance, reduced collaboration, and missed opportunities for growth and development. They currently rely on memory or personal notes to access OD frameworks, resulting in difficulties recalling and using the frameworks effectively when faced with real-time challenges.</t>
  </si>
  <si>
    <t>The OD Stack</t>
  </si>
  <si>
    <t>thecODistack.com</t>
  </si>
  <si>
    <t>The OD Stack aims to be a centralized, accessible resource that will aid leaders in integrating OD practices into daily routines, enhancing team alignment, communication, and organizational effectiveness.
It offers access to the slate of OD frameworks learnt by the organisation's leaders, as well as current articles and tools/resources to keep abreast of leadership and OD trends in the global field.</t>
  </si>
  <si>
    <t>In a fast-paced and demanding work environment, public officers often experience a sense of underappreciation and disconnection. This is especially prevalent among team members in less visible roles, such as support staff, junior members or 2ICs of projects. These individuals are integral to team success, yet their contributions—often smaller, day-to-day tasks that aren’t tied to obvious or immediate outcomes—can easily go unnoticed or unacknowledged. 
Setting aside time for feedback and gratitude can be challenging for several reasons: i) Prioritization of urgent tasks over time for feedback and appreciation, ii) A tendency to focus recognition on high-visibility achievements, often neglecting smaller or background roles, iii) A general lack of structured appreciation processes in fast-moving environments. 
Over time, such feelings of underappreciation and disconnection can affect individual and team performance, leading to decreased motivation, higher turnover, and weakened cohesion. When team members feel unseen, they may lose their enthusiasm, reduce the effort they invest, or struggle to align themselves with the team’s larger goals. Furthermore, a lack of acknowledgment fosters a “transactional” workplace atmosphere, rather than one built on mutual respect and encouragement.</t>
  </si>
  <si>
    <t>It has been said that humans pass along only one out of every 30 good thoughts we have about others. This web application seeks to build a habit of regular appreciation among users, strengthening relationships and boosting overall well-being. By making appreciation fun and accessible, it aims to increase feelings of positivity and connectedness among users, foster a culture of regular recognition in team or community settings and empower individuals to give and receive meaningful appreciation in a way that feels both personal and playful.</t>
  </si>
  <si>
    <t xml:space="preserve">I interviewed 4 public officers to understand how they currently express appreciation. Some user feedback gleaned:
1. In terms of current practices, users typically express appreciation using Taco on Slack, verbally during team retros or give each other Peer Bonus
2. Feedback that Peer Bonus is not accessible i.e. it is on GSIB, people forget about it and only rush to give it out when it is expiring
3. Users are open to the idea of an app that seeks to build habit of regular appreciation, but daily might be too much
4. Users value the message of appreciation- any money or other material stuff is a bonus
5. Social or gamification elements such as weekly streaks would help with engagement
</t>
  </si>
  <si>
    <t>Instead of building a kudos app just to send or share appreciations, I will add in the element to give out peer bonuses (using $150 a year as a baseline) regularly in a way that seeks to build the habit of daily appreciation
Incorporate social elements such as current streaks, longest streaks and leaderboards</t>
  </si>
  <si>
    <t xml:space="preserve">Public officers feel underappreciated at work due to the lack of an easy and engaging way to give and receive appreciation. With urgent tasks taking priority over time for feedback and appreciation, this lack of recognition is especially pronounced when it comes to supporting smaller or day-to-day tasks that may easily go unnoticed, but are still integral to team success. Existing means such as the peer bonus scheme is not accessible (only on SOE), and officers send appreciations not when the event occurs but close to the expiry. This means appreciation are not sent in a timely manner, and opportunities are missed to build greater team cohesion, improve motivation and reduce turnover. </t>
  </si>
  <si>
    <t xml:space="preserve">This web app seeks to build a habit of regular feedback by allocating users a small daily budget to send to anyone who has made a difference in their day along with a personalised thank you message. It tracks users’ current streaks and longest streaks of daily appreciation to gamify the experience and encourage continuity. </t>
  </si>
  <si>
    <t>99 Cents Daily Gratitude</t>
  </si>
  <si>
    <t>99centsdailygratitude.com</t>
  </si>
  <si>
    <t>The 99C Daily Gratitude App seeks to build a habit of regular feedback for users. Inspired by the concept of daily compounding, it allocates users a small daily budget to send to anyone who has made even a small difference in their day along with a personalised message. It tracks users’ current streaks and longest streaks of daily appreciation to gamify the experience and encourage continuity.
Requires login:
john@example.com
password: password1</t>
  </si>
  <si>
    <r>
      <rPr>
        <b/>
        <sz val="10"/>
        <color theme="1"/>
        <rFont val="Arial"/>
      </rPr>
      <t xml:space="preserve">What's good:
</t>
    </r>
    <r>
      <rPr>
        <sz val="10"/>
        <color theme="1"/>
        <rFont val="Arial"/>
      </rPr>
      <t xml:space="preserve">✓ Target users clear (public officers who handle secretariat duties for meetings)
✓ Pain points clear (manual tracking of schedules, agenda, and materials, as well as the need to coordinate replies and timelines from various parties)
✓ Consequences clear (tasks are time-consuming, reduce productivity, and take time away from more valuable work)
✓ Problem depth well-covered, especially regarding the repetitive nature of tracking and coordinating with multiple stakeholders, and the impact on officers’ workload
</t>
    </r>
    <r>
      <rPr>
        <b/>
        <sz val="10"/>
        <color theme="1"/>
        <rFont val="Arial"/>
      </rPr>
      <t xml:space="preserve">Could be better:
Problem statement could further clarify the complexity involved, such as the number of stakeholders involved or the types of responses and updates required. Adding this detail would emphasise the level of coordination needed and the challenge of managing timelines effectively.
</t>
    </r>
    <r>
      <rPr>
        <sz val="10"/>
        <color theme="1"/>
        <rFont val="Arial"/>
      </rPr>
      <t xml:space="preserve">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Public officers often perform secretariat duties, which involve coordinating meeting schedules, agendas, and the circulation of materials. This role requires officers to manually track timelines and collect responses from various parties, including agenda item owners and personal assistants, to ensure all materials are prepared and distributed on time.
</t>
    </r>
    <r>
      <rPr>
        <b/>
        <sz val="10"/>
        <color theme="1"/>
        <rFont val="Arial"/>
      </rPr>
      <t xml:space="preserve">This causes problem for: </t>
    </r>
    <r>
      <rPr>
        <sz val="10"/>
        <color theme="1"/>
        <rFont val="Arial"/>
      </rPr>
      <t xml:space="preserve">Officers who must spend excessive time on administrative tasks, resulting in reduced capacity to focus on more strategic work.
</t>
    </r>
    <r>
      <rPr>
        <b/>
        <sz val="10"/>
        <color theme="1"/>
        <rFont val="Arial"/>
      </rPr>
      <t>This is important because:</t>
    </r>
    <r>
      <rPr>
        <sz val="10"/>
        <color theme="1"/>
        <rFont val="Arial"/>
      </rPr>
      <t xml:space="preserve"> An automated or streamlined process for coordinating and tracking meeting requirements could significantly reduce toil work, allowing officers to allocate more time to higher-value tasks that better contribute to their department’s goals.
--
</t>
    </r>
    <r>
      <rPr>
        <b/>
        <sz val="10"/>
        <color theme="1"/>
        <rFont val="Arial"/>
      </rPr>
      <t xml:space="preserve">Questions to consider for proposed solution:
</t>
    </r>
    <r>
      <rPr>
        <sz val="10"/>
        <color theme="1"/>
        <rFont val="Arial"/>
      </rPr>
      <t xml:space="preserve">- Could the solution automate timeline tracking and send reminders to contributors about upcoming deadlines?
- How can the solution accommodate changes or last-minute updates to the agenda without adding to the workload?
</t>
    </r>
    <r>
      <rPr>
        <b/>
        <sz val="10"/>
        <color theme="1"/>
        <rFont val="Arial"/>
      </rPr>
      <t xml:space="preserve">Potential Challenges: 
</t>
    </r>
    <r>
      <rPr>
        <sz val="10"/>
        <color theme="1"/>
        <rFont val="Arial"/>
      </rPr>
      <t>- Ensuring that all parties consistently use and update the platform, which may require training or change management.
- Handling complex or frequent changes to the agenda or materials, which may be challenging for automated systems to adapt to in real time.
- Addressing data privacy or access controls, especially if materials need clearance before distribution to certain stakeholders.</t>
    </r>
  </si>
  <si>
    <t>- Validated some of the assumptions underlying my product proposal:
   i) currently, officers use a combination of methods to track timelines manually (e.g. refer to a SOP document, create calendar entries to remind themselves). 
   ii) When drafting emails for meeting duties, officers generally leverage templates from past meetings and adjust 
- Needs that my proposed app currently cannot meet: the admin burden of having to track requests to table agenda items, and updating people on the status of the meeting preparation (e.g. whether the agenda is ready, whether meeting link has been sent). A pain point is the time needed to wait/chase for people to get back. 
- UI/UX: Based on the prototype I showed, received feedback that the front page could better explain how the user is supposed to use the product. Also received suggestion to rearrange the order of the pages in the workflow to align more closely to the user journey
- Should integrate with existing apps/programs that officers use for meetings (e.g. integration with Outlook)</t>
  </si>
  <si>
    <t>- Will organise the content on the app based on meeting milestones/function (e.g. segregate by info for secretariat's own tracking vs what they have to send to others) rather than nature of output (cal invites vs emails), and show these on a single page for ease of reference
- Content should be churned in Outlook-compatible formats where possible
- To explore function that allows item owners to log their items and check status through the same app (after MVP is ready, so as to start small)</t>
  </si>
  <si>
    <t>Public officers often need to take on secretariat duties, which requires them to coordinate meeting schedules, agendas, and the circulation of materials. Currently, officers do so by manually tracking timelines against meeting SOPs, and collect responses from various parties, including agenda item owners and personal assistants, to ensure all materials are prepared and distributed on time. Such tasks are highly repetitive and officers find staffing work mundane.
As a result, public officers who handle secretariat duties for meetings, including their supervisors, need to spend considerable time on manual, administrative and repetitive tasks. This reduces their capacity and time to focus on their core work. Streamlining this process could significantly reduce toil work, allowing officers to allocate more time to tasks that better contribute to their department’s goals, and improve their engagement level at work.</t>
  </si>
  <si>
    <t xml:space="preserve">The web app will help public officers to carry out secretariat duties by i) tabulating meeting milestones (e.g. when to call for agenda, circulate materials) based on the meeting date, ii) generating calendar reminders to prompt the secretariat on the meeting milestones, and iii) generating meeting calendar invites and email templates that the secretariat can send to the relevant stakeholders, based on meeting details provided by the user. </t>
  </si>
  <si>
    <r>
      <rPr>
        <sz val="10"/>
        <color theme="1"/>
        <rFont val="Arial"/>
      </rPr>
      <t xml:space="preserve">✓ </t>
    </r>
    <r>
      <rPr>
        <b/>
        <sz val="10"/>
        <color theme="1"/>
        <rFont val="Arial"/>
      </rPr>
      <t>Target users</t>
    </r>
    <r>
      <rPr>
        <sz val="10"/>
        <color theme="1"/>
        <rFont val="Arial"/>
      </rPr>
      <t xml:space="preserve"> clear (group buy organizers managing campaigns via group chat)
✓</t>
    </r>
    <r>
      <rPr>
        <b/>
        <sz val="10"/>
        <color theme="1"/>
        <rFont val="Arial"/>
      </rPr>
      <t xml:space="preserve"> Pain points</t>
    </r>
    <r>
      <rPr>
        <sz val="10"/>
        <color theme="1"/>
        <rFont val="Arial"/>
      </rPr>
      <t xml:space="preserve"> clear (manual effort needed for managing orders, acknowledging, aggregating, and coordinating delivery and payments)
✓ </t>
    </r>
    <r>
      <rPr>
        <b/>
        <sz val="10"/>
        <color theme="1"/>
        <rFont val="Arial"/>
      </rPr>
      <t>Consequences</t>
    </r>
    <r>
      <rPr>
        <sz val="10"/>
        <color theme="1"/>
        <rFont val="Arial"/>
      </rPr>
      <t xml:space="preserve"> clear (inefficient workflow, increased workload, risk of errors)
✓</t>
    </r>
    <r>
      <rPr>
        <b/>
        <sz val="10"/>
        <color theme="1"/>
        <rFont val="Arial"/>
      </rPr>
      <t xml:space="preserve"> Problem depth</t>
    </r>
    <r>
      <rPr>
        <sz val="10"/>
        <color theme="1"/>
        <rFont val="Arial"/>
      </rPr>
      <t xml:space="preserve"> appropriate with good context on the workflow challenges that are specific to group buy organizers
✓ </t>
    </r>
    <r>
      <rPr>
        <b/>
        <sz val="10"/>
        <color theme="1"/>
        <rFont val="Arial"/>
      </rPr>
      <t>Concise
Can be better:
Target users:</t>
    </r>
    <r>
      <rPr>
        <sz val="10"/>
        <color theme="1"/>
        <rFont val="Arial"/>
      </rPr>
      <t xml:space="preserve"> Is it based in Singapore?</t>
    </r>
  </si>
  <si>
    <r>
      <rPr>
        <sz val="10"/>
        <color rgb="FF999999"/>
        <rFont val="Arial"/>
      </rPr>
      <t xml:space="preserve">Local shopaholics (Women in their 20s? Purchase over x number of clothing a month?) often </t>
    </r>
    <r>
      <rPr>
        <b/>
        <sz val="10"/>
        <color rgb="FF999999"/>
        <rFont val="Arial"/>
      </rPr>
      <t>feel like they have nothing to wear</t>
    </r>
    <r>
      <rPr>
        <sz val="10"/>
        <color rgb="FF999999"/>
        <rFont val="Arial"/>
      </rPr>
      <t xml:space="preserve"> as many have messy and full closets, which make it difficult for them to stock take in real life.
This results in them </t>
    </r>
    <r>
      <rPr>
        <b/>
        <sz val="10"/>
        <color rgb="FF999999"/>
        <rFont val="Arial"/>
      </rPr>
      <t>running out of closet space</t>
    </r>
    <r>
      <rPr>
        <sz val="10"/>
        <color rgb="FF999999"/>
        <rFont val="Arial"/>
      </rPr>
      <t xml:space="preserve"> as they are unable to keep track of whether they have a similar piece of clothing already, and end up buying more clothes; causing a cycle of overconsumption (space + $ + environment).</t>
    </r>
    <r>
      <rPr>
        <sz val="10"/>
        <color theme="1"/>
        <rFont val="Arial"/>
      </rPr>
      <t xml:space="preserve">
</t>
    </r>
    <r>
      <rPr>
        <b/>
        <sz val="10"/>
        <color theme="1"/>
        <rFont val="Arial"/>
      </rPr>
      <t>-- I decided to change it!! (11/10)
[Background context]</t>
    </r>
    <r>
      <rPr>
        <sz val="10"/>
        <color theme="1"/>
        <rFont val="Arial"/>
      </rPr>
      <t xml:space="preserve"> It is difficult to find a place to sit down and relax for free when you're out and about and in a new environment. Many options (such as cafes, restaurants, etc) require a purchase to get a seat, which limits accessibility (budget), and may also have time limits on how long each group can stay.
</t>
    </r>
    <r>
      <rPr>
        <b/>
        <sz val="10"/>
        <color theme="1"/>
        <rFont val="Arial"/>
      </rPr>
      <t xml:space="preserve">
This causes problems for:</t>
    </r>
    <r>
      <rPr>
        <sz val="10"/>
        <color theme="1"/>
        <rFont val="Arial"/>
      </rPr>
      <t xml:space="preserve"> Budget conscious Singaporeans in their 20s,
</t>
    </r>
    <r>
      <rPr>
        <b/>
        <sz val="10"/>
        <color theme="1"/>
        <rFont val="Arial"/>
      </rPr>
      <t>Because:</t>
    </r>
    <r>
      <rPr>
        <sz val="10"/>
        <color theme="1"/>
        <rFont val="Arial"/>
      </rPr>
      <t xml:space="preserve"> they want to hang out with friends somewhere where they can sit down and chit chat, for free.
</t>
    </r>
    <r>
      <rPr>
        <b/>
        <sz val="10"/>
        <color theme="1"/>
        <rFont val="Arial"/>
      </rPr>
      <t>This is important because:</t>
    </r>
    <r>
      <rPr>
        <sz val="10"/>
        <color theme="1"/>
        <rFont val="Arial"/>
      </rPr>
      <t xml:space="preserve"> the allocation of seats is inefficient (??)</t>
    </r>
  </si>
  <si>
    <r>
      <rPr>
        <sz val="10"/>
        <color rgb="FF999999"/>
        <rFont val="Arial"/>
      </rPr>
      <t xml:space="preserve">The webapp will allow users to upload their clothes (via uploading their receipts? And automatically create clothes items that they own?). Users can then view all their clothes like a catalogue.
</t>
    </r>
    <r>
      <rPr>
        <b/>
        <i/>
        <sz val="10"/>
        <color theme="1"/>
        <rFont val="Arial"/>
      </rPr>
      <t>--</t>
    </r>
    <r>
      <rPr>
        <i/>
        <sz val="10"/>
        <color theme="1"/>
        <rFont val="Arial"/>
      </rPr>
      <t xml:space="preserve">
</t>
    </r>
    <r>
      <rPr>
        <sz val="10"/>
        <color theme="1"/>
        <rFont val="Arial"/>
      </rPr>
      <t xml:space="preserve">As an MVP, the webapp will allow users to:
- Create an account
- CRUD locations, and location attributes (eg: is it in a mall, is it indoors/outdoors, is there wind/fan, do the seats have back support, got shelter?)
</t>
    </r>
  </si>
  <si>
    <r>
      <rPr>
        <b/>
        <sz val="10"/>
        <rFont val="Arial"/>
      </rPr>
      <t>What’s good:</t>
    </r>
    <r>
      <rPr>
        <sz val="10"/>
        <color rgb="FF000000"/>
        <rFont val="Arial"/>
        <scheme val="minor"/>
      </rPr>
      <t xml:space="preserve">
✓ </t>
    </r>
    <r>
      <rPr>
        <b/>
        <sz val="10"/>
        <rFont val="Arial"/>
      </rPr>
      <t xml:space="preserve">Target users </t>
    </r>
    <r>
      <rPr>
        <sz val="10"/>
        <color rgb="FF000000"/>
        <rFont val="Arial"/>
        <scheme val="minor"/>
      </rPr>
      <t xml:space="preserve">clear (local shopaholics, women in their 20s,who purchase multiple items of clothing each month)
✓ </t>
    </r>
    <r>
      <rPr>
        <b/>
        <sz val="10"/>
        <rFont val="Arial"/>
      </rPr>
      <t xml:space="preserve">Pain points </t>
    </r>
    <r>
      <rPr>
        <sz val="10"/>
        <color rgb="FF000000"/>
        <rFont val="Arial"/>
        <scheme val="minor"/>
      </rPr>
      <t xml:space="preserve">clear (difficulty managing full, messy closets and tracking clothing inventory)
✓ </t>
    </r>
    <r>
      <rPr>
        <b/>
        <sz val="10"/>
        <rFont val="Arial"/>
      </rPr>
      <t xml:space="preserve">Consequences </t>
    </r>
    <r>
      <rPr>
        <sz val="10"/>
        <color rgb="FF000000"/>
        <rFont val="Arial"/>
        <scheme val="minor"/>
      </rPr>
      <t xml:space="preserve">clear (lack of closet space and unintentional repeated purchases)
✓ </t>
    </r>
    <r>
      <rPr>
        <b/>
        <sz val="10"/>
        <rFont val="Arial"/>
      </rPr>
      <t>Problem depth</t>
    </r>
    <r>
      <rPr>
        <sz val="10"/>
        <color rgb="FF000000"/>
        <rFont val="Arial"/>
        <scheme val="minor"/>
      </rPr>
      <t xml:space="preserve"> appropriate with good context on the user's shopping and storage habits, as well as the frustration around disorganisation
</t>
    </r>
    <r>
      <rPr>
        <b/>
        <sz val="10"/>
        <rFont val="Arial"/>
      </rPr>
      <t xml:space="preserve">Can be better:
</t>
    </r>
    <r>
      <rPr>
        <sz val="10"/>
        <color rgb="FF000000"/>
        <rFont val="Arial"/>
        <scheme val="minor"/>
      </rPr>
      <t xml:space="preserve">- Be more concise using thr problem statement format below
</t>
    </r>
    <r>
      <rPr>
        <b/>
        <sz val="10"/>
        <color rgb="FF674EA7"/>
        <rFont val="Arial"/>
      </rPr>
      <t xml:space="preserve">An example below on how to improve problem statement in this format: </t>
    </r>
    <r>
      <rPr>
        <i/>
        <sz val="10"/>
        <rFont val="Arial"/>
      </rPr>
      <t>(Kindly refine problem statement in your own words)</t>
    </r>
    <r>
      <rPr>
        <sz val="10"/>
        <color rgb="FF000000"/>
        <rFont val="Arial"/>
        <scheme val="minor"/>
      </rPr>
      <t xml:space="preserve">
[Background context] Local shopaholics women in their 20 who purchase multiple items of clothing each month, frequently feel they have nothing to wear due to messy, overfilled closets, making it hard to keep track of what they own.
</t>
    </r>
    <r>
      <rPr>
        <b/>
        <sz val="10"/>
        <rFont val="Arial"/>
      </rPr>
      <t>This causes problem for:</t>
    </r>
    <r>
      <rPr>
        <sz val="10"/>
        <color rgb="FF000000"/>
        <rFont val="Arial"/>
        <scheme val="minor"/>
      </rPr>
      <t xml:space="preserve"> young women who enjoy shopping.
</t>
    </r>
    <r>
      <rPr>
        <b/>
        <sz val="10"/>
        <rFont val="Arial"/>
      </rPr>
      <t xml:space="preserve">because: </t>
    </r>
    <r>
      <rPr>
        <sz val="10"/>
        <color rgb="FF000000"/>
        <rFont val="Arial"/>
        <scheme val="minor"/>
      </rPr>
      <t xml:space="preserve">they lack visibility over their existing clothes, leading to repeated purchases and running out of closet space.
</t>
    </r>
    <r>
      <rPr>
        <b/>
        <sz val="10"/>
        <rFont val="Arial"/>
      </rPr>
      <t xml:space="preserve">This is important because: </t>
    </r>
    <r>
      <rPr>
        <sz val="10"/>
        <color rgb="FF000000"/>
        <rFont val="Arial"/>
        <scheme val="minor"/>
      </rPr>
      <t xml:space="preserve">it leads to unnecessary spending, clutter, and frustration with their disorganised wardrobe.
--
</t>
    </r>
    <r>
      <rPr>
        <b/>
        <sz val="10"/>
        <color rgb="FFA64D79"/>
        <rFont val="Arial"/>
      </rPr>
      <t>There are existing solutions out there with similar fuctionalities of proposed solution:</t>
    </r>
    <r>
      <rPr>
        <sz val="10"/>
        <color rgb="FF000000"/>
        <rFont val="Arial"/>
        <scheme val="minor"/>
      </rPr>
      <t xml:space="preserve">
1. </t>
    </r>
    <r>
      <rPr>
        <b/>
        <u/>
        <sz val="10"/>
        <color rgb="FF1155CC"/>
        <rFont val="Arial"/>
      </rPr>
      <t>Save Your Wardrobe</t>
    </r>
    <r>
      <rPr>
        <b/>
        <sz val="10"/>
        <rFont val="Arial"/>
      </rPr>
      <t xml:space="preserve">: </t>
    </r>
    <r>
      <rPr>
        <sz val="10"/>
        <color rgb="FF000000"/>
        <rFont val="Arial"/>
        <scheme val="minor"/>
      </rPr>
      <t>This app enables users to create a digital version of their wardrobe by uploading images of their clothing items. It offers personalized recommendations based on lifestyle, calendar, and weather, and allows users to add online receipts to their digital wardrobe.
2.</t>
    </r>
    <r>
      <rPr>
        <b/>
        <sz val="10"/>
        <rFont val="Arial"/>
      </rPr>
      <t xml:space="preserve"> </t>
    </r>
    <r>
      <rPr>
        <b/>
        <u/>
        <sz val="10"/>
        <color rgb="FF1155CC"/>
        <rFont val="Arial"/>
      </rPr>
      <t>GetWardrobe</t>
    </r>
    <r>
      <rPr>
        <sz val="10"/>
        <color rgb="FF000000"/>
        <rFont val="Arial"/>
        <scheme val="minor"/>
      </rPr>
      <t xml:space="preserve">: GetWardrobe is an outfit planner and smart closet organizer that helps users manage their clothing items digitally. Users can upload photos of their clothes, plan outfits, and access their wardrobe from multiple devices.
3. </t>
    </r>
    <r>
      <rPr>
        <b/>
        <u/>
        <sz val="10"/>
        <color rgb="FF1155CC"/>
        <rFont val="Arial"/>
      </rPr>
      <t>Stylebook:</t>
    </r>
    <r>
      <rPr>
        <b/>
        <sz val="10"/>
        <rFont val="Arial"/>
      </rPr>
      <t xml:space="preserve"> </t>
    </r>
    <r>
      <rPr>
        <sz val="10"/>
        <color rgb="FF000000"/>
        <rFont val="Arial"/>
        <scheme val="minor"/>
      </rPr>
      <t xml:space="preserve">Stylebook is a wardrobe management tool that allows users to upload images of their clothing, create outfits, and plan what to wear. It includes features like a calendar for outfit planning and a packing list for trips.
--
</t>
    </r>
    <r>
      <rPr>
        <b/>
        <sz val="10"/>
        <rFont val="Arial"/>
      </rPr>
      <t xml:space="preserve">Questions for proposed solution:
</t>
    </r>
    <r>
      <rPr>
        <b/>
        <sz val="10"/>
        <color rgb="FFA64D79"/>
        <rFont val="Arial"/>
      </rPr>
      <t>Might need to put more thought into the proposed solution on the gap you're trying to solve in the market.</t>
    </r>
    <r>
      <rPr>
        <b/>
        <sz val="10"/>
        <rFont val="Arial"/>
      </rPr>
      <t xml:space="preserve">
</t>
    </r>
    <r>
      <rPr>
        <sz val="10"/>
        <color rgb="FF000000"/>
        <rFont val="Arial"/>
        <scheme val="minor"/>
      </rPr>
      <t xml:space="preserve">- How is the web app able to upload clothes item based on users uploading receipts? If it's referring to digital receipts with images, for the web app to extract the image, that might be possible. However, this might not work with hardcopy receipts with just receipt and item description/barcode numbers.
- How are the clothes sorted in a catalogue? Is it a lookbook? Or sorted e.g. blouses, shirts, skirts, colour etc?
</t>
    </r>
  </si>
  <si>
    <t>Both interviewees reflected that unfamiliarity with an area causes them to not know where to sit.
- Have to think very hard about lepak spots. Typically this information is passed down by word of mouth, often through orientation camps -&gt; As a result, interviewees were familiar with spaces to lepak near large malls or malls near schools (such as Vivo, NEX, J8), but not so sure where to go in more unfamiliar places like Beauty World, CBD, etc.
- Don't want to be a hindrance either; don't want to lepak at like a cab pickup point or something and cause trouble. Want to know what the place looks like.
Location attributes
- Some locations have multiple places to lepak (eg: Vivocity has top floor steps with no shelter, and the ground floor boardwalk which is partially sheltered)
- User might want to be near the MRT (Map UI is useful)
- Back rest is a concern because getting old liao...
- Availability of aircon
Trustworthiness of location
- Crowdsourcing data is difficult; will it be useful or not? Need some way to tell which listings are helpful or not.</t>
  </si>
  <si>
    <t>Might need to put in a map interface + photos of the location for this to be useful to people.
Maybe first iteration doesn't need a upvote/downvote system, but need a way to police ratings once at critical mass (via moderators, via karma?)</t>
  </si>
  <si>
    <r>
      <rPr>
        <b/>
        <sz val="10"/>
        <color theme="1"/>
        <rFont val="Arial"/>
      </rPr>
      <t>[Background context]</t>
    </r>
    <r>
      <rPr>
        <sz val="10"/>
        <color theme="1"/>
        <rFont val="Arial"/>
      </rPr>
      <t xml:space="preserve"> It is difficult to find a place to sit down and relax for free when you're out and about and in a new environment. Many options (such as cafes, restaurants, etc) require a purchase to get a seat, which limits accessibility (budget), and may also have time limits on how long each group can stay.
</t>
    </r>
    <r>
      <rPr>
        <b/>
        <sz val="10"/>
        <color theme="1"/>
        <rFont val="Arial"/>
      </rPr>
      <t>This causes problems for:</t>
    </r>
    <r>
      <rPr>
        <sz val="10"/>
        <color theme="1"/>
        <rFont val="Arial"/>
      </rPr>
      <t xml:space="preserve"> Budget conscious Singaporeans in their 20s,
</t>
    </r>
    <r>
      <rPr>
        <b/>
        <sz val="10"/>
        <color theme="1"/>
        <rFont val="Arial"/>
      </rPr>
      <t>Because:</t>
    </r>
    <r>
      <rPr>
        <sz val="10"/>
        <color theme="1"/>
        <rFont val="Arial"/>
      </rPr>
      <t xml:space="preserve"> they want to hang out with friends somewhere where they can sit down and chit chat, for free, without being a hindrance to others.
</t>
    </r>
    <r>
      <rPr>
        <b/>
        <sz val="10"/>
        <color theme="1"/>
        <rFont val="Arial"/>
      </rPr>
      <t xml:space="preserve">This is important because: </t>
    </r>
    <r>
      <rPr>
        <sz val="10"/>
        <color theme="1"/>
        <rFont val="Arial"/>
      </rPr>
      <t>they want to catch up with friends without having to bust their budgets.</t>
    </r>
  </si>
  <si>
    <t>Webapp would allow users to:
- Create an account, login/logout
- CRUD locations
- View locations on a map interface
- Search for locations near them
(Depends on my time... hahah)</t>
  </si>
  <si>
    <t>Where Can Lepak</t>
  </si>
  <si>
    <t>www.wherecanlepak.ngkelly.com</t>
  </si>
  <si>
    <t>~30 Strategic Planners in a public insittuition need to 
go through a lot of material to keep abreast of geopolitical, societal and technological trends. 
This results in anxiety over missing out on processing key information because 
they have to scan over 50 web-sources every month that use up ~20 man-hours every month.
A good solution would reduce the workload by at least 5 man-hours per month and would increase the coverage of articles scanned by at least 20%.</t>
  </si>
  <si>
    <t>From Interviews:
1) Main painpoint is "too much to process". Main "dream" is AI to "read for me" and provide summaries for top mentioned trends
2) Possible to focused search with syntax-based flags in search engines, but this is beyond ability of most users.
2) Secondary painpoint is "effort to produce a newsletter". "Dream" is for a auto-complier into a "Newsletter template".
3) Adjacent painpoint that "people don't read newsletters; not how people consume info now". "Dream" for semi-auto production of content into other consumable formats such as podcasts.
4) Worried about subsequent maintenence of App and not the "look and feel" or the need to be seamless. Willing to "jump" across multiple services and platforms to "get it done". Ask for documentation within "app".</t>
  </si>
  <si>
    <t>1) Search returns to be processed and summarised by themes. 
2 &amp; 3) Output from (1) in e.g. JSON and fed for presentation in different modalities
4) Architecture - Third-party Services instead of Backend codes executed by Servers. To have a Product Landing Page with documentation,</t>
  </si>
  <si>
    <t>~30 Strategic Planners in a public insittuition need to 
go through a lot of material to keep abreast of geopolitical and technological trends. 
This results in anxiety over missing out on processing key information because 
they have to scan over 50 web-sources every month that use up ~20 man-hours every month.
A good solution would reduce the workload by at least 5 man-hours per month and would increase the coverage of articles scanned by at least 20%.</t>
  </si>
  <si>
    <t>1) Present ouput based on pre-determined Themes
2) Take output from (1) to create newsletter in html
3) Explore exporting output from (1) to Gen AI podcast generation tool</t>
  </si>
  <si>
    <t>Buddy for Emerging Trends Scanning (BETS)</t>
  </si>
  <si>
    <t>https://b4ets.org/</t>
  </si>
  <si>
    <r>
      <rPr>
        <sz val="10"/>
        <color rgb="FF000000"/>
        <rFont val="Arial"/>
      </rPr>
      <t xml:space="preserve">1, Landing page describes problem definition and extant User Journey, pain points &amp; "asks". Also shows features of WebApp
2. Overview page explains design philosopjhy, Envisaged Architecture, and architecture-in-place.
3. Focused Search page presents pre-programmed customised search engine to remove pain point of syntax-based configuration of searches
4. Editor page presents results of search in tabular form, and allows input of editor's comments for each article. Alleviate pain point of "too many cut &amp; paste" for editing product
</t>
    </r>
    <r>
      <rPr>
        <u/>
        <sz val="10"/>
        <color rgb="FF000000"/>
        <rFont val="Arial"/>
      </rPr>
      <t xml:space="preserve">Not yet implemented
</t>
    </r>
    <r>
      <rPr>
        <sz val="10"/>
        <color rgb="FF000000"/>
        <rFont val="Arial"/>
      </rPr>
      <t>5. Auto-publish of edited product using Google AppSheets.Will remove pain point of manually emailing product to consumers. Not implemented yet as it is a paid service, and need to evaluate value first.
6. Integration with LLM to assist in digesting articles. Will remove pain point of having "too much to read". Manual porting of articles into Google NotebookLM as interim. Will add feature once NotebookLM or equivalent publish APIs.
7. Podcase production with NotebookLM. Will allevate pain point of no alternative modes for consumption.</t>
    </r>
  </si>
  <si>
    <r>
      <rPr>
        <sz val="10"/>
        <color theme="1"/>
        <rFont val="Arial"/>
      </rPr>
      <t>A webapp that can help to effectively consolidate and provide a 'one-stop view' standard formatting for credit card payment due date, transaction amount, merchant/item description</t>
    </r>
    <r>
      <rPr>
        <b/>
        <u/>
        <sz val="10"/>
        <color theme="1"/>
        <rFont val="Arial"/>
      </rPr>
      <t xml:space="preserve"> and/or </t>
    </r>
    <r>
      <rPr>
        <sz val="10"/>
        <color theme="1"/>
        <rFont val="Arial"/>
      </rPr>
      <t xml:space="preserve">reward points (optional) so that users can </t>
    </r>
    <r>
      <rPr>
        <strike/>
        <sz val="10"/>
        <color rgb="FF0000FF"/>
        <rFont val="Arial"/>
      </rPr>
      <t>easily manage multiple credit cards and gain insights into their spending habits.</t>
    </r>
    <r>
      <rPr>
        <sz val="10"/>
        <color theme="1"/>
        <rFont val="Arial"/>
      </rPr>
      <t xml:space="preserve"> have greater awareness of their monthly cashflow/increase savings by having accurate info in their spend patterns.</t>
    </r>
  </si>
  <si>
    <t>Interviews:
1) Card transactions is good to have but honestly not a focus for card holders
2) Painpoint is on tracking the points, their expiry and deriving how much more i need to hit the goal for redemption
3) Each bank/card has different point system and it is hard to remember/keep track (diff systems for diff cards even within the same bank)</t>
  </si>
  <si>
    <t>Pivot to tracking card points based on each type of Credit Card and translating the points to a Singapore Airline Mileage as the MVP. 
Target audience are going to be mostly Singaporean and hence using Singapore Airlines as the first MVP would be ideal as it has the most flight availbility for redemption</t>
  </si>
  <si>
    <t xml:space="preserve">Credit cards users who are interested to redeem air tickets using credit card points will need to manually track, convert and calculate their credit cards reward points to get information on their balance and shortfalls for redemption. This results additional time and effort in tracking their statements, manually converting points and consolidating across different credit cards. </t>
  </si>
  <si>
    <t xml:space="preserve">The webapp will be able to help users track their current airmiles balance and shortfall by auto convering all their credit card points into the same currency which for the first prototype, will be Singapore Airlines miles. </t>
  </si>
  <si>
    <t>sgMiles</t>
  </si>
  <si>
    <t>www.flymiles.cc</t>
  </si>
  <si>
    <t>Credit card users looking to redeem air tickets using reward points face challenges due to varying points systems across cards/banks. They must manually calculate, convert, consolidate points across multiple cards and track progress to determine balances and shortfalls, resulting in significant time and effort spent at least once a month to review their bank statements and manage conversions.</t>
  </si>
  <si>
    <r>
      <rPr>
        <sz val="10"/>
        <color theme="1"/>
        <rFont val="Arial"/>
      </rPr>
      <t xml:space="preserve">[Revised]
Busy professionals in full-time employment often experience significant work pressures that leaves them with little mental energy for meal planning and preparation. As a result, many resort to pre-packaged foods and takeout options, which are frequently less healthy. This reliance on convenience foods over time can disrupt a balanced diet, leading to nutritional deficits and increasing the risk of long-term health issues as they age. </t>
    </r>
    <r>
      <rPr>
        <strike/>
        <sz val="10"/>
        <color theme="1"/>
        <rFont val="Arial"/>
      </rPr>
      <t>For those who attempt to cook from scratch, the overwhelming number of online recipes can make it difficult to find quick, nutritious meal options that fit their schedules and skill levels. Ultimately, these factors contribute to unhealthy eating habits, resulting in unmet daily nutrition needs.</t>
    </r>
  </si>
  <si>
    <t xml:space="preserve">[Revised]
With a meal planning web app, it can advise users on quick, simple and healthy recipes for beginners, so that the busy professional can follow along without much difficulty. To cater to each individual, users can input their dietary preferences or restrictions in the web app and a curated list of recipes will be given to them. </t>
  </si>
  <si>
    <t xml:space="preserve">1) Eating healthily is important to both interviewees, and both prefer home-cooked meals over eating out. 
2) While they recognise that healthier options are available when eating out, they acknowledge that these choices are only healthier relative to other menu items. 
3) Additionally, healthier options tend to be more expensive. 
4) Eating out may not offer the same nutritional value as home-cooked meals. 
5) For both interviewees, eating out is typically more about convenience than preference.
6) Both interviewees would consider cooking if the recipe is quick, fuss-free, and does not require too many steps and ingredients. 
7) Both cited that it is difficult to search for fuss-free recipes online and often do not know how much ingredients to buy. 
</t>
  </si>
  <si>
    <t xml:space="preserve">Initially, web app was designed to provide healthy recipes based on user input, such as meal prep time, difficulty level, and dietary restrictions. I believed that offering fuss-free recipes would encourage users to cook more at home. 
However, after conducting interviews, I realized that full-time employees often lack the time and energy for grocery shopping during the week. To make home-cooked meals more feasible, meal planning must be prioritised, allowing users to prepare in advance. 
The updated web app will focus on meal planning, providing users with a summary of ingredients to buy based on their recipe choices and how often they plan to cook each week. Additionally, the MVP will prioritize dinner recipes, as many professionals find it difficult to prepare home-cooked lunches. Leftover dinners can also be repurposed for lunch the following day, offering further convenience.
</t>
  </si>
  <si>
    <t>Health-conscious professionals prefer home-cooked meals but struggle to make this a reality due to time constraints and the difficulty in finding quick, easy, and healthy recipes. They are also unsure about how much of each ingredient to buy for the week, complicating meal planning and preparation. While they acknowledge that eating out is not ideal for their nutrition, they often choose it out of convenience. Over time, they worry that eating out frequently may compromise their nutritional needs and overall health.</t>
  </si>
  <si>
    <t xml:space="preserve">The updated web app will focus on meal planning for the week. To save time on meal prep during the work day, the web app will provide users with a summary of ingredients to buy based on their recipe choices and how often they plan to cook each week. The recipe suggested to the users will be healthy meals that are easy and fuss-free to prepare. </t>
  </si>
  <si>
    <t>Plan to Plate</t>
  </si>
  <si>
    <r>
      <rPr>
        <u/>
        <sz val="10"/>
        <color rgb="FF1155CC"/>
        <rFont val="Arial"/>
      </rPr>
      <t>https://healthmeals.org/</t>
    </r>
    <r>
      <rPr>
        <sz val="10"/>
        <color rgb="FF000000"/>
        <rFont val="Arial"/>
        <scheme val="minor"/>
      </rPr>
      <t xml:space="preserve"> </t>
    </r>
  </si>
  <si>
    <t>Plan to Plate is a user-friendly meal planner designed for busy professionals who want to eat healthy homecooked meals without much hassle. The app offers a curated selection of simple, nutritious recipes that are quick and easy to prepare. Once a meal is selected, Plan to Plate automatically generates a personalised grocery list based on the number of days the user plans to make that meal</t>
  </si>
  <si>
    <t>Test developers need to manually select their test questions according to test specifications so as to randomised the test questions for a more secure, fair, and valid assessment experience. This not only result in additional work by the test developers which is time consuming, it can also be prone to human error, risks inconsistent patterns which can introduce bias, and difficult to scale which makes it inefficient for large or complex tests.</t>
  </si>
  <si>
    <t>A web app with a nice user interface can help to streamline test question selection and randomisation by allowing test developers to input specifications like number of competency to test, proficiency level, question type, and number of questions. With an automated algorithm, the app selects and randomizes questions based on these criteria, reducing manual work and human error. The intuitive interface enables developers to easily set parameters and generate unique tests, ensuring scalability, fairness, and security. This approach saves time, maintains test quality, and provides a more efficient solution for creating secure, valid assessments.</t>
  </si>
  <si>
    <t>1) System to auto-generate and populate fields based on job grade to minimise inputs. 
2) User can amend the populated fields and add additional competencies if required.
3) Include and have the 'Total Number of Questions' and 'Time Allocated' computed based on user inputs for each competency so user can reference to see if criteria is met. 
4) Will be great if the generated assessment can be export in excel format.</t>
  </si>
  <si>
    <t>1) Specify the fields to auto-generate and populate upon selection of the different job grades. 
2) Allow amending of the populated fields either with drop-down listing or plus and minus buttons for numerical inputs. Allow adding in additional competency to the generated competencies. 
3) Add in 'Total Number of Questions' and 'Time Allocated' sections and have the fields computed based on user inputs for each competency.
4) Explore to see if the generated assessment can be export in excel format.</t>
  </si>
  <si>
    <t>Most companies rely on hiring assessments to efficiently screen and identify suitable candidates. However, administering customised assessments based on job-specific competencies can be time-consuming. The process begins with a request from the recruiter to the test administrator stating the assessment criteria, and the test administrator will then create the assessment by selecting and compiling questions from the competencies assessment question bank according to the stated criteria such as the job grade, required competencies, proficiency levels and number of questions for the various question types. Subsequently, the test administrator will upload the generated assessment into a proctored test environment and notify the candidate to attempt it by the given timeline. 
Additionally, the test administrator will also ensure that the assessment questions differ for candidates applying to the same job to maintain the integrity and fairness of the hiring process and prevent cheating or memorisation. This manual approach is prone to human error and potential bias due to inconsistent question selection patterns. If left unaddressed, these inefficiencies lead to slower hiring processes, increased administrative costs, and potentially biased hiring outcomes.</t>
  </si>
  <si>
    <t>The Competencies Assessment Generator simplify the creation of customised job-specific competencies assessment. The user inputs criteria such as the job grade, required competencies, proficiency levels and number of questions for the various question types into the generator to generate a customised assessment. 
User starts by selecting the job grade and the generator will auto-generate the required number of competencies and proficiency level for user selection, as well as populate the proposed number of questions for the various question types. User can then select the competencies and proficiency level, and can amend the populated number of questions for the various question types and add additional competencies if required. User can also reference the total number of questions and time allocated, which are computed based on user inputs, to ensure that the inputs matches the requested criteria. Lastly, user can click and generate the assessment while the generator will randomise question selection within the defined criteria to ensure unique assessments for candidates, thus preventing cheating and memorization for candidates applying for the same job. 
By automating the process, the generator reduces manual work, minimizes human error, and ensures consistent and unbiased question selection. Additionally, the generator is scale to handle large volumes of candidates and multiple job roles, saving time, maintaining assessment quality, and improving overall hiring efficiency. Overall, the generator provides a secure, streamlined, and reliable solution for creating valid and fair assessments, ultimately reducing administrative costs and enhancing hiring outcomes.</t>
  </si>
  <si>
    <t>Cyber Gauge</t>
  </si>
  <si>
    <t>www.cybergauge-karenqjy.me</t>
  </si>
  <si>
    <r>
      <rPr>
        <b/>
        <sz val="10"/>
        <color theme="1"/>
        <rFont val="Arial"/>
      </rPr>
      <t xml:space="preserve">What's good:
</t>
    </r>
    <r>
      <rPr>
        <sz val="10"/>
        <color theme="1"/>
        <rFont val="Arial"/>
      </rPr>
      <t xml:space="preserve">✓ Target users clear (parents with young children, specifically those who need medical care outside standard clinic hours)
✓ Pain points clear (difficulty in finding available clinics, needing to conduct open searches, and the inconvenience and anxiety this creates.)
✓ Consequences clear (not having a central resource are clear, including wasted time, additional stress, and potential delays in seeking medical care)
✓ Problem depth appropriate as it addresses issues parents face, such as browsing multiple sites and needing care after-hours
</t>
    </r>
    <r>
      <rPr>
        <b/>
        <sz val="10"/>
        <color theme="1"/>
        <rFont val="Arial"/>
      </rPr>
      <t>Could be better:
Problem statement could further elaborate on impact of this issue (e.g. do parents instead go to A&amp;E if they can't find information in timely fashion, and what's the imapct on A&amp;E)</t>
    </r>
    <r>
      <rPr>
        <sz val="10"/>
        <color theme="1"/>
        <rFont val="Arial"/>
      </rPr>
      <t xml:space="preserve">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Parents with young children often struggle to find pediatric clinics open in the evenings or on weekends. Each clinic has unique hours and days of operation, which requires parents to search through multiple sources to find an available clinic, adding stress when they are already concerned about their child’s health.
</t>
    </r>
    <r>
      <rPr>
        <b/>
        <sz val="10"/>
        <color theme="1"/>
        <rFont val="Arial"/>
      </rPr>
      <t xml:space="preserve">This causes problem for: </t>
    </r>
    <r>
      <rPr>
        <sz val="10"/>
        <color theme="1"/>
        <rFont val="Arial"/>
      </rPr>
      <t xml:space="preserve">Parents who need immediate after-hours care for their children, as they may face delays in locating an open clinic or even miss opportunities for prompt care.
</t>
    </r>
    <r>
      <rPr>
        <b/>
        <sz val="10"/>
        <color theme="1"/>
        <rFont val="Arial"/>
      </rPr>
      <t>This is important because:</t>
    </r>
    <r>
      <rPr>
        <sz val="10"/>
        <color theme="1"/>
        <rFont val="Arial"/>
      </rPr>
      <t xml:space="preserve"> Having a central resource that aggregates clinic hours and proximity could save parents time, reduce stress, and facilitate faster access to medical care for their children.
--
</t>
    </r>
    <r>
      <rPr>
        <b/>
        <sz val="10"/>
        <color theme="1"/>
        <rFont val="Arial"/>
      </rPr>
      <t xml:space="preserve">Questions to consider for proposed solution:
</t>
    </r>
    <r>
      <rPr>
        <sz val="10"/>
        <color theme="1"/>
        <rFont val="Arial"/>
      </rPr>
      <t xml:space="preserve">- How can this resource stay up-to-date with clinic hours, which may change over time?
- Should the resource include additional information, such as wait times or types of services offered at each clinic?
- How can the solution be made accessible and easy to use in emergencies, such as through a mobile app or hotline?
</t>
    </r>
    <r>
      <rPr>
        <b/>
        <sz val="10"/>
        <color theme="1"/>
        <rFont val="Arial"/>
      </rPr>
      <t xml:space="preserve">Potential Challenges: 
</t>
    </r>
    <r>
      <rPr>
        <sz val="10"/>
        <color theme="1"/>
        <rFont val="Arial"/>
      </rPr>
      <t>- Ensuring accurate and real-time updates of clinic hours to avoid misinformation.</t>
    </r>
  </si>
  <si>
    <t xml:space="preserve">Gathered the following insights through interviews with other parents of young children:
•        Inaccurate Clinic Hours Due to Ad Hoc Changes: Clinic hours aren’t always reliable, as doctors may go on leave or adjust schedules unexpectedly. 
•        Early Cutoff for Last Patient Registration: Many clinics stop registering new patients before closing, so parents may be turned away even if the clinic is technically open. 
•        Pre-Bookings vs. Walk-Ins: Some clinics allow only pre-booked appointments, not walk-ins. 
•        Limited Digital Presence for Some Clinics: Smaller clinics may lack websites and rely on physical notices, making it hard for parents to find them online. 
•        Additional Features for User Experience: Adding patient reviews, special promotions, and clinic-specific details would enhance usability and help parents make informed choices.
•        Monetization Potential: The platform could include ad space for clinics and doctors, offering them targeted exposure to parents.
</t>
  </si>
  <si>
    <t xml:space="preserve">I will display the following key information alongside each clinic listing, enabling parents to make informed decisions about which clinic they can go to without needing to visit each clinic’s website:
•        Real-time updates on ad hoc changes to clinic hours (e.g. due to doctor’s leave) – feasibility of this feature to be explored further 
•        Last registration times to help parents plan visits within accepted hours
•        Walk-in policy to clarify whether appointments are required 
•        Contact number of the clinic, especially for clinics without websites
Additional user experience and monetization features will not be pursued for now, as they are beyond the project’s current scope.
</t>
  </si>
  <si>
    <r>
      <rPr>
        <sz val="10"/>
        <color theme="1"/>
        <rFont val="Arial"/>
      </rPr>
      <t xml:space="preserve">[Changes in </t>
    </r>
    <r>
      <rPr>
        <sz val="10"/>
        <color rgb="FF0000FF"/>
        <rFont val="Arial"/>
      </rPr>
      <t>blue</t>
    </r>
    <r>
      <rPr>
        <sz val="10"/>
        <color theme="1"/>
        <rFont val="Arial"/>
      </rPr>
      <t xml:space="preserve">] 
Parents with young children often find it challenging to locate pediatric clinics that are open during evenings and weekends, precisely when their children are likely to fall ill outside of regular hours. Different clinics operate on varying schedules, requiring parents to conduct time-consuming searches across multiple websites to determine which clinics are open. This can lead to significant inconvenience and anxiety, as parents, already busy caring for their sick children, struggle to quickly identify accessible care options.
</t>
    </r>
    <r>
      <rPr>
        <sz val="10"/>
        <color rgb="FF0000FF"/>
        <rFont val="Arial"/>
      </rPr>
      <t xml:space="preserve">Without readily available information on open clinics, parents may resort to taking their children to the Accident &amp; Emergency (A&amp;E) departments for non-emergency medical issues. This places additional strain on A&amp;E resources, resulting in longer waiting times for both non-urgent and critical cases, which can impact patient care across the board. </t>
    </r>
    <r>
      <rPr>
        <sz val="10"/>
        <color theme="1"/>
        <rFont val="Arial"/>
      </rPr>
      <t xml:space="preserve">If parents had access to a centralized resource to easily locate open pediatric clinics organized by proximity, they could access prompt and appropriate care for their children’s illnesses. </t>
    </r>
    <r>
      <rPr>
        <sz val="10"/>
        <color rgb="FF0000FF"/>
        <rFont val="Arial"/>
      </rPr>
      <t>This would reduce unnecessary visits to A&amp;E, ease pressure on emergency services</t>
    </r>
    <r>
      <rPr>
        <sz val="10"/>
        <color theme="1"/>
        <rFont val="Arial"/>
      </rPr>
      <t xml:space="preserve">, and allow parents to better plan their days around caring for their sick children.
</t>
    </r>
  </si>
  <si>
    <r>
      <rPr>
        <sz val="10"/>
        <color theme="1"/>
        <rFont val="Arial"/>
      </rPr>
      <t xml:space="preserve">The web app seeks to provide a central platform where parents can input information on when they intend to see a paediatrician and their location. The web app will then provide as its output a list of paediatric clinics which are open at the selected date and time, in order of proximity to the parent. </t>
    </r>
    <r>
      <rPr>
        <sz val="10"/>
        <color rgb="FF0000FF"/>
        <rFont val="Arial"/>
      </rPr>
      <t>The platform will display information on the clinics’ ad hoc changes to their operating hours (e.g. due to doctor’s leave), last patient registration times, whether walk-ins are allowed, and contact information of the clinic.</t>
    </r>
    <r>
      <rPr>
        <sz val="10"/>
        <color theme="1"/>
        <rFont val="Arial"/>
      </rPr>
      <t xml:space="preserve"> It will also include links to the clinics’ websites for parents to find out more detailed information about the services available in the clinic. </t>
    </r>
  </si>
  <si>
    <t xml:space="preserve">I was able to validate my problem statement that people who need to create ice-breakers primarily use google to come up with new ice-breaker questions, and that they will look through lists on websites to find them. I found that on average, my users looked through 20-50 questions before they found one they liked. Yet, when the questions selected were tested against 3 other people, the other people did not like the question selected. This validates the need to have better curated ice-breaker questions.
I was also able to get more insights on what qualities people look out for in a good icebreaker question: easy to answer, incites a diversity of answers from people, cannot have too much complexity, cannot be overly open-ended, and it should be accessible for anyone to answer.
My users also reflected the need to tailor ice-breaker questions to the group's age, occupation and group size. The best ice-breaker questions were those that took the demographic of the group into account
</t>
  </si>
  <si>
    <t>- Create a list function for the ice-breaker app too, so people can look through many different ice-breakers at once in choosing the ones they would like. However, I will still limit to a few options, as people seemed overwhelmed by the amount of choices available. 
- Create a walkthrough page explaining qualities of a good ice-breaker questions 
- Allow the app to show ice-breaker questions of the same theme; initially, I was going to have the app show two ice-breaker questions of different themes (e.g. food and hobbies), but overwhelmingly my users preferred food related ice-breaker questions</t>
  </si>
  <si>
    <t>We are always meeting new people, whether in work or social settings. Icebreakers are a common way for groups to warm up to each other, and when used well, they can be a catalyst for faster and stronger team formation. But it can be difficult to craft good ice-breaker questions on the spot, as it requires creativity and some science. Today, the most common method people use involves googling and looking through long list of ice-breakers, most which are not tailored to your group's size or demographics. Worse, bad ice-breaker questions can get a group off to a bad start, induce anxiety in those more introverted, or end up being a waste of time.</t>
  </si>
  <si>
    <t>This web-app aims to facilitate effective ice-breakers for getting to know new people in a group-setting. The app will provide ice-breaker questions curated to be easy-to-answer, and good for making introductions. The app will have two modes: providing a set of ice-breaker questions to use immediately, or providing lists of questions from which to choose. Rather than aimed at getting people to know each other deeply, they are aimed at getting people comfortable and relaxed quickly. The questions can be tailored based on group size, age, theme, and level of depth. The target group is people who need to facilitate group conversations.</t>
  </si>
  <si>
    <t>Spoke to several current fantasy basketball players to better understand their needs and how they usually analyse data. Most users spend about half an hour to an hour a day checking for data, and do so from a variety of sources. These include reddit, twitter and youtube as well as peer advice. Most expressed a desire to spend less time checking these sources and wanted quick overviews so they could make decisions quickly.
One user mentioned that NBA scheduling was helpful, and asked to have an overview of games played per team per week that would allow him to make better decisions on whether to add / drop players. It would also be useful to have a quick overview and comparison to players to know which players would perform better. One user noted that offensive/defensive ratings of individual teams were not as useful as players could have hot / cold streaks regardless of who they were playing against. One user cited "buyer's remorse" when he picked up a player and did not perform to his expectations, costing him a loss for the week's matchup and losing out on winnings and bragging rights.</t>
  </si>
  <si>
    <t>In order to provide users an overview of players and scheduling, I will include an overall "player comparison" page as well as the NBA schedule. While this does not provide as nuanced and in-depth player profiles compared to searching online, this is a quick way for users to check on the strengths of players before making decisions to change their team rosters. A "useful links" page will also be included, to provide helpful resources for users to search up.</t>
  </si>
  <si>
    <r>
      <rPr>
        <sz val="10"/>
        <color theme="1"/>
        <rFont val="Arial"/>
      </rPr>
      <t xml:space="preserve">NBA fantasy basketball players </t>
    </r>
    <r>
      <rPr>
        <sz val="10"/>
        <color rgb="FF0000FF"/>
        <rFont val="Arial"/>
      </rPr>
      <t>face decentralised information sources</t>
    </r>
    <r>
      <rPr>
        <sz val="10"/>
        <color theme="1"/>
        <rFont val="Arial"/>
      </rPr>
      <t xml:space="preserve"> which they </t>
    </r>
    <r>
      <rPr>
        <sz val="10"/>
        <color rgb="FF0000FF"/>
        <rFont val="Arial"/>
      </rPr>
      <t xml:space="preserve">need to spend time reviewing and contextualising </t>
    </r>
    <r>
      <rPr>
        <sz val="10"/>
        <color theme="1"/>
        <rFont val="Arial"/>
      </rPr>
      <t xml:space="preserve">before assessing whether to make changes to their teams (i.e. deciding on whether to add, drop, </t>
    </r>
    <r>
      <rPr>
        <sz val="10"/>
        <color rgb="FF0000FF"/>
        <rFont val="Arial"/>
      </rPr>
      <t xml:space="preserve">or hold their current position). This decision-making process is time-consuming, can be misinformed and lead to them losing their matchups, money invested in buying-in to their leagues, and bragging rights. </t>
    </r>
    <r>
      <rPr>
        <sz val="10"/>
        <color theme="1"/>
        <rFont val="Arial"/>
      </rPr>
      <t xml:space="preserve">
</t>
    </r>
  </si>
  <si>
    <t>This web app will consolidate key data points for fantasy NBA basketball players, including features such as an NBA game schedule, updated player rankings of top-200 fantasy NBA players across 9 key categories / stats with relevant filters, a player comparison tool, and a useful links page to other relevant sites. Players will still take ownership of their decision-making for team changes, but this web app will enhance the process by allowing users to make informed decisions on whether changes to their team are needed.</t>
  </si>
  <si>
    <t>HoopHubSG</t>
  </si>
  <si>
    <t>HoopHub.org</t>
  </si>
  <si>
    <t>HoopHubSG consolidates key data points and basic features for fantasy NBA basketball players to help them make quicker and more informed decisions on whether to change their team rosters.</t>
  </si>
  <si>
    <t>I was also able to get more insights on what qualities people look out for in a good icebreaker question: easy to answer, incites a diversity of answers from people, cannot have too much complexity, cannot be overly open-ended, and it should be accessible for anyone to answer</t>
  </si>
  <si>
    <t>I was initially going to include an input box for users to specify their location. However, this, and the suggestion for filters takes away from the simplicity of having just one button to click. I am now going to try and have the app either 1) Generate food options based on curated, known places in a specific area (i.e., old hill street police station), or 2) Have the app determine your location and recommend nearby options automatically.</t>
  </si>
  <si>
    <r>
      <rPr>
        <sz val="10"/>
        <color rgb="FF4285F4"/>
        <rFont val="Arial"/>
      </rPr>
      <t>My colleagues and</t>
    </r>
    <r>
      <rPr>
        <sz val="10"/>
        <color theme="1"/>
        <rFont val="Arial"/>
      </rPr>
      <t xml:space="preserve"> I struggle to and decide what/where to eat when ask</t>
    </r>
    <r>
      <rPr>
        <sz val="10"/>
        <color rgb="FF4285F4"/>
        <rFont val="Arial"/>
      </rPr>
      <t>ed</t>
    </r>
    <r>
      <rPr>
        <sz val="10"/>
        <color theme="1"/>
        <rFont val="Arial"/>
      </rPr>
      <t xml:space="preserve"> and </t>
    </r>
    <r>
      <rPr>
        <sz val="10"/>
        <color rgb="FF4285F4"/>
        <rFont val="Arial"/>
      </rPr>
      <t xml:space="preserve">often </t>
    </r>
    <r>
      <rPr>
        <sz val="10"/>
        <color theme="1"/>
        <rFont val="Arial"/>
      </rPr>
      <t xml:space="preserve">say "don't know" or anything". This results in time wasted and frustration because </t>
    </r>
    <r>
      <rPr>
        <sz val="10"/>
        <color rgb="FF4285F4"/>
        <rFont val="Arial"/>
      </rPr>
      <t>we are</t>
    </r>
    <r>
      <rPr>
        <sz val="10"/>
        <color theme="1"/>
        <rFont val="Arial"/>
      </rPr>
      <t xml:space="preserve"> indecisive, and often suffer from decision paralysis and decision fatigue, </t>
    </r>
    <r>
      <rPr>
        <sz val="10"/>
        <color rgb="FF4285F4"/>
        <rFont val="Arial"/>
      </rPr>
      <t>and would like "an option to drop from the sky"</t>
    </r>
    <r>
      <rPr>
        <sz val="10"/>
        <color theme="1"/>
        <rFont val="Arial"/>
      </rPr>
      <t xml:space="preserve">. </t>
    </r>
  </si>
  <si>
    <r>
      <rPr>
        <sz val="10"/>
        <color theme="1"/>
        <rFont val="Arial"/>
      </rPr>
      <t xml:space="preserve">The web app will generate a random </t>
    </r>
    <r>
      <rPr>
        <sz val="10"/>
        <color theme="4"/>
        <rFont val="Arial"/>
      </rPr>
      <t>(curated)</t>
    </r>
    <r>
      <rPr>
        <sz val="10"/>
        <color theme="1"/>
        <rFont val="Arial"/>
      </rPr>
      <t xml:space="preserve"> food option nearby. There will be one button, and each input will generate just one option, to combat decision fatigue. </t>
    </r>
  </si>
  <si>
    <t>EatWhat</t>
  </si>
  <si>
    <t>EatWhat.org</t>
  </si>
  <si>
    <t xml:space="preserve">Users do realise that the process they are following is not ideal, so it is not necessary to "shock" them with the finding that current processes would end poorly. However, they do not have a good sense of all the product design steps, how much resources and time are necessary, and how they can improve outcomes. Request is for a "menu" of how different processes can be put together, conforming to the real time and resource constraints they might face
</t>
  </si>
  <si>
    <t>Instead of focusing on the "option zero", poorly designed products and outcomes, provide something that allows the users to "trade-off" different combinations of options and see how they interplay with each other</t>
  </si>
  <si>
    <t>Business owners (Directors) in the public service need to build new digital products to meet the needs of the public.
They do not know how good product design practices can help them to build better products, and specifically which product design processes would be most helpful depending on what their situation and available resources in. 
Without this knowledge, they are hesitant to add product design processes into their workflow. This results in wasted public money 
because products are commissioned even if they do not meet customer needs, or with inefficient design that did not solve upstream problems</t>
  </si>
  <si>
    <t>This web app gamifies case studies of actual previous product designs, aiming to give users simulated experiences of how various components of the product design process could be combined to result in better products, within the constraints of available time and resources. The web app would act as a companion to a short and high-level product design course targeted at the business decision maker level, and allow those business decision makers to experientally learn how to combine various aspects of good product design into their product development process.</t>
  </si>
  <si>
    <t>Product Design Game</t>
  </si>
  <si>
    <t>productdesigngame.org</t>
  </si>
  <si>
    <t>This is a POC of how a "Choose Your Own Adventure" style game, about the process of designing a web app, can be used as a teaching aid to teach Product Design.</t>
  </si>
  <si>
    <t xml:space="preserve">I did an HTML prototype, testing the core feature of comparing different enrichment classes based on key factors like cost, location, schedule, class size, duration of class, and enrolment process. Based on the feedback survey, parents highly value cost, location, and class size when choosing enrichment classes. Specifically, 100% of parents cited cost and location as crucial factors, 25% mentioned class size, and 50% highlighted reviews and recommendations. Word of mouth and online sources were the main methods parents used to find options. The comparison tool received positive feedback, with 100% of parents finding it easy to use and rating their overall experience highly, which enhanced their confidence and significantly reduced the time spent researching classes. Key improvements were suggested, including adding reviews and ratings from other parents (requested by 50%), providing information on trial class availability (25%), and incorporating direct links to enrolment pages (25%). 
</t>
  </si>
  <si>
    <t xml:space="preserve">I'll include reviews and ratings pulled from the web for each enrichment class, as requested by 50% of parents. I will also enhance the information on trial classes and provide direct links to enrolment pages for convenience. Additionally, I'll rearrange the presentation of information to prioritise cost, location, and class size, since these factors are highly valued by parents, instead of the current arrangement that highlights programme details and class duration first.
</t>
  </si>
  <si>
    <r>
      <rPr>
        <sz val="10"/>
        <color theme="1"/>
        <rFont val="Arial"/>
      </rPr>
      <t xml:space="preserve">Parents of preschool school children face significant difficulty in choosing the right enrichment class for their child. With options such as Julia Gabriel English class versus Learning Lab English class for a 4-year-old, the overwhelming number of choices, varying costs, and lack of clear information about each program's unique selling points (USPs) make it challenging to make an informed decision. This leads to confusion, decision fatigue, and stress, with </t>
    </r>
    <r>
      <rPr>
        <sz val="10"/>
        <color rgb="FF0000FF"/>
        <rFont val="Arial"/>
      </rPr>
      <t>50% of parents relying heavily on word of mouth and dedicating substantial time to researching classes</t>
    </r>
    <r>
      <rPr>
        <sz val="10"/>
        <color theme="1"/>
        <rFont val="Arial"/>
      </rPr>
      <t xml:space="preserve"> —leading to confusion, decision fatigue, and stress over finding the best opportunity for their child. 
</t>
    </r>
  </si>
  <si>
    <r>
      <rPr>
        <sz val="10"/>
        <color theme="1"/>
        <rFont val="Arial"/>
      </rPr>
      <t xml:space="preserve">The web app simplifies the process of choosing enrichment classes for preschool children by providing a comprehensive comparison tool. </t>
    </r>
    <r>
      <rPr>
        <sz val="10"/>
        <color rgb="FF0000FF"/>
        <rFont val="Arial"/>
      </rPr>
      <t>It consolidates key information—such as cost, location, schedule, class size, enrolment process—into one platform, making it easy for parents to compare options. Features like parent reviews, how to book trial classes, and direct enrolment links will further reduce research time and decision fatigue.</t>
    </r>
    <r>
      <rPr>
        <sz val="10"/>
        <color theme="1"/>
        <rFont val="Arial"/>
      </rPr>
      <t xml:space="preserve"> </t>
    </r>
    <r>
      <rPr>
        <sz val="10"/>
        <color rgb="FF0000FF"/>
        <rFont val="Arial"/>
      </rPr>
      <t>By centralising all relevant details, the web app helps parents make informed decisions quickly and confidently, minimising stress and ensuring the best opportunities for their children.</t>
    </r>
    <r>
      <rPr>
        <sz val="10"/>
        <color theme="1"/>
        <rFont val="Arial"/>
      </rPr>
      <t xml:space="preserve">
</t>
    </r>
  </si>
  <si>
    <t>Enrich Ease</t>
  </si>
  <si>
    <t>www.enrichease.com</t>
  </si>
  <si>
    <t>Enrich ease is a enrichment class comparison tool to help parents of preschool children choose the best enrichment classes. By consolidating key information like cost, location, schedule, class size, and enrolment process into a single platform, Enrich Ease makes it easy to compare multiple options at a glance. Features like parent reviews, trial class booking, and direct enrolment links reduce research time and decision fatigue, ensuring the best opportunities for your child with minimal stress</t>
  </si>
  <si>
    <r>
      <rPr>
        <sz val="10"/>
        <color theme="1"/>
        <rFont val="Arial"/>
      </rPr>
      <t xml:space="preserve">Consider to
Eleborate Consequence: What are the consequences of the problem? e.g. wife complain
</t>
    </r>
    <r>
      <rPr>
        <b/>
        <sz val="10"/>
        <color theme="1"/>
        <rFont val="Arial"/>
      </rPr>
      <t>Considerations</t>
    </r>
    <r>
      <rPr>
        <sz val="10"/>
        <color theme="1"/>
        <rFont val="Arial"/>
      </rPr>
      <t xml:space="preserve">
🤔Avoid including the solution (consolidated website to provide information) in the problem statement
🤔What are soccer fanatics doing now and what's the problem? Is the problem about disturbing their families or is it searching for a place to watch games?
🤔What's the impact of not being able to search for a place to watch games? Why does it impact them?</t>
    </r>
  </si>
  <si>
    <t>Asked 2 soccer friends on their need to find a place to watch soccer. Came up with an excel of data with factors for consideration and type of decision factors whether it is worth the effort to go out to watch the game.
Insights: There is a need to weigh the different factors when making decisions. There could be 1 star experience where there is no location which map their needs and they will not watch the game at all as a consequence</t>
  </si>
  <si>
    <t>Factors which are most important may need to be filtered to narrow the decision making, e.g. location, fixtures</t>
  </si>
  <si>
    <t>Soccer fanatics would like to gather and watch the live game outside and when searching for places to watch the English Premier League (EPL) soccer games in Singapore, there is no consolidated information to help in the decision making. Each location provider (Safra, Harry's bar, etc) would provide the info in their own websites. Soccer fans may go down to the location and found that it is full or not the fixture which they are expecting and may be disappointed.</t>
  </si>
  <si>
    <t>A consolidated web app to help soccer fans in decision making on the location to watch live EPL soccer game. Important factors such as location, capacity, pricing, fixture are critical decision making and would make informed decision, ensuring that they are not disapponted in missing the live game time.</t>
  </si>
  <si>
    <t>The web app aims to help users who want to improve specific aspects of their lives (i.e. fitness, mental health, parenting) to state their goal and habit clearly and assist them to simply track the completion of their habit and encouraging them to reflect on themselves.</t>
  </si>
  <si>
    <t xml:space="preserve">Surveyed 4 friends on whether they have problems following through with the habits they set for their personal goals. All said yes and they never stick to any routine or habit which they set out for themselves.  Key insight learnt is that:                                     (i) is very easy slip back to daily BAU and only focus on what is more immediate or require their attention.                                (ii) There is no one to hold them accountable or to track their progress                                          </t>
  </si>
  <si>
    <t>(i) Made the goal very apparent to remind user about what they initially set out to do. (ii) the importance of having a UI that is straight forward, simple to use that eases the cognitive load of users who are usually swarmed with the daily grind.  (iii) Put in place gentle reminders to get user to reflect on their day/challenge if they did not stick with their habit</t>
  </si>
  <si>
    <t>People all want to lead a healthier and more purposeful lives , for eg being healthier, calmer and being a more present parent. But we rarely stick to their new year resolutions or achieve the goals we set for ourselves because we do not develop a routine of small achievable tasks that help us make progress each day and regularly reflect where we are. This results in people feeling overwhelmed and experience great inertia to change, leading them to give up and fall back to status quo.</t>
  </si>
  <si>
    <t>Habit is Life</t>
  </si>
  <si>
    <t>https://myhabitmylife123.work/</t>
  </si>
  <si>
    <t xml:space="preserve">Habit is Life is a simple app that helps people who want to work on improving their life by stating their goal and following through their habit. It offers a simple 7-day tracker and the user will always have sight of their goal while tracking if they have completed their habit. </t>
  </si>
  <si>
    <t>i) Helpful to have information on the qualifications and experiences of the instructors;
 ii) Not necessary to have details of past runs as the interest would be more on the upcoming runs;
 iii) Helpful to have separate links for the two categories of courses offered, ie Leadership and Technical Development courses</t>
  </si>
  <si>
    <t>i) Include an additional page on detailing the instructors/facilitators experience and qualification
 ii) Course details page would focus on upcoming course runs rather than courses that have already been conducted
 iii) Have separate pages for Leadership and Technical Development courses</t>
  </si>
  <si>
    <t>1. ASC staff and potential collaborators seeking information about upcoming Academy programmes face challenges in accessing timely and comprehensive details. Currently, they must manually inquire through various channels such as email or online messaging, which creates inefficiencies:
  1.1. For enquiring staff: They experience delays in obtaining crucial programme information, potentially impacting their ability to plan collaborations or participate in relevant training.
  1.2. For ASC Academy staff: They face an increased workload managing and responding to these frequent, often repetitive queries through multiple communication channels.
 2. This manual, fragmented approach to information dissemination results in:
  2.1. Inefficient use of staff time on both sides
  2.2. Potential missed opportunities for collaboration or professional development
  2.3. Inconsistent information sharing across the organisation
 3. A streamlined, centralised system for accessing up-to-date programme details could significantly reduce these pain points and improve overall organisational efficiency.</t>
  </si>
  <si>
    <t>The web app will serve as a centralised information hub for ASC Academy programmes, designed to address the needs of both enquiring staff and ASC Academy staff. The key features include:
 Programme Information:
 1.1. Upcoming Programmes: A comprehensive list of future courses, categorised into two main sections:
 a) Leadership Development Courses
 b) Technical Development Courses
 1.2. Each course listing will include:
 a) Course title, dates, and duration
 b) Brief course description
 c) Target audience
 d) Registration deadlines and procedures
 Instructor Profiles:
 2.1. Detailed information about programme facilitators, including:
 a) Qualifications
 b) Relevant experience
 c) Areas of expertise
 Contact Information:
 3.1. A dedicated section for enquiries not addressed by the available information
 3.2. Clear guidelines on how and when to contact ASC Academy staff for additional questions
 User-friendly Interface:
 4.1. Intuitive navigation with separate, clearly labelled sections for Leadership and Technical Development courses</t>
  </si>
  <si>
    <t>ASC Academy website</t>
  </si>
  <si>
    <t>https://ascacademy7878.org</t>
  </si>
  <si>
    <t xml:space="preserve">ASC Academy website displays leadership and technical course offerings by ASC Academy.
Website also lists the instructors and their experiences.
ASC Website lets interested participants to register for upcoming courses and for both potential participants and collaborators to contact ASC Academy staff through the website
</t>
  </si>
  <si>
    <t>I don't yet have all the knowledge needed to recommend the right financial products; might want to consider narrowing the scope of financial products to just cover CPF products rather than all low-risk financial products. CPF is already a complicated enough labyrinth that needs to be navigated.
User interface and design of the website is nice and easy to use. But might want to consider explaining what "Quick Win" and "Maximise CPF Further" means to the user.
There doesn't seem to be enough information about the products recommended and this could be a bit irresponsible to the user
'Liquidity preference' input seems confusing - might want to provide a query button that explains what it means when hovering over it.</t>
  </si>
  <si>
    <t>Modify the problem statement to only cover CPF products, rather than all low-risk financial products.
Add in the additional description (short) so users understand what "Quick Win" VS "Maximise CPF further" entails.
Add in a link to infopages on CPF to allow user to read up more about the product if wished.
Add in "query buttons" (the ? symbol) beside input fields to provide more explanation for the user.</t>
  </si>
  <si>
    <t>Individuals with a low-risk tolerance and low motivation often struggle to find low-effort recommendations to maximize financial planning, growth and savings through CPF products. Due to a lack of simplified, tailored information that reduced the effort to optimise CPF, these individuals risk missing out on secure, incremental growth and savings opportunities provided by CPF.</t>
  </si>
  <si>
    <t>This web app will take input from user, and based on age, saving goal and liquidity, recommend CPF actions from lowest effort to highest effort, with direct links to the application site and an estimated amount of time required for each action.</t>
  </si>
  <si>
    <t>CPF Optimiser</t>
  </si>
  <si>
    <t>cpfoptimiser.com</t>
  </si>
  <si>
    <t>This web app will recommend CPF products to optimise financial planning, savings and growth, based on the user's age and saving goal, and arrange from lowest effort to highest effort, with direct links to the application site and an estimated amount of time required for each action.</t>
  </si>
  <si>
    <t>I conducted interviews with two neighbours to gather honest feedback. Each interview was held separately to ensure independent opinions.
The consistent feedback from both users highlighted a few key pain points:
Age Group Selection: Both users felt that the age group filter was unnecessary and cumbersome, particularly when trying to find books at nearby locations.
Page Alignment: The left-aligned page layout was described as "annoying" and "unprofessional," suggesting it could be improved for a more polished user experience.
Book Type Dropdown: One user found the dropdown menu for selecting book types to be tedious and suggested a more intuitive alternative.
Book Donations: Another insightful confirmation came from a parent with young children, who mentioned they have many books to give away but often throw them out because they don't know where to donate them.
Donation Location Preference: While a donation box near residential blocks might seem convenient, the general consensus was that placing donation points at community centres would benefit a larger number of people. Community centres provide more variety and better accessibility.</t>
  </si>
  <si>
    <t xml:space="preserve">Based on user feedback, here are the changes I would implement:
- Centre the page layout for a more visually appealing and professional design.
- Remove the age group filter, as it was found to be unnecessary and subjective.
- Replace the book type dropdown with checkboxes to make it more user-friendly and less cumbersome.
- Re-evaluate the positioning of filter options to ensure they are intuitive and easy to access.
</t>
  </si>
  <si>
    <t xml:space="preserve">People often don’t know where to donate books that are still in good condition, and they also struggle to find specific books for recreational or academic use. As a result, many books end up being discarded rather than reused or shared. This lack of awareness and accessibility leads to unnecessary waste and missed opportunities for book redistribution.
</t>
  </si>
  <si>
    <t xml:space="preserve">This web app addresses the issue of book waste by offering a platform where users can find local community centers to drop off gently used books. It also enables users to search for specific books whether for recreational or educational purposes at nearby community centres. In addition to reducing waste, the app supports lower-income families by facilitating access to free books. The platform connects donors with convenient drop-off locations and helps people find the books they need, promoting a more sustainable and equitable way to share resources in the community.
</t>
  </si>
  <si>
    <t>Community Club Book Drop/Pick-up Points</t>
  </si>
  <si>
    <t>https://tupbooksgowhere.cc</t>
  </si>
  <si>
    <t xml:space="preserve">This web app addresses the issue of book waste by offering a platform where users can find local community centers to drop off gently used books. It also enables users to search for specific books whether for recreational or educational purposes at nearby community centres. In addition to reducing waste, the app supports lower-income families by facilitating access to free books. The platform connects donors with convenient drop-off locations and helps people find the books they need, promoting a more sustainable and equitable way to share resources in the community.
</t>
  </si>
  <si>
    <r>
      <rPr>
        <b/>
        <sz val="10"/>
        <color theme="1"/>
        <rFont val="Arial"/>
      </rPr>
      <t xml:space="preserve">What's good:
</t>
    </r>
    <r>
      <rPr>
        <sz val="10"/>
        <color theme="1"/>
        <rFont val="Arial"/>
      </rPr>
      <t xml:space="preserve">✓ Target users clear (public officers, especially those new to the role or seeking more guidance within the government environment)
✓ Pain points clear (lack of accessible, contextualised resources for self-help, motivation, and coaching)
✓ Consequences clear (missed development opportunities, potential disengagement, and a risk of officers becoming unmotivated due to the challenges of navigating the system)
✓ Problem deptha dequately conveyed, especially the impact on motivation and the missed potential for officers to engage meaningfully.
</t>
    </r>
    <r>
      <rPr>
        <b/>
        <sz val="10"/>
        <color theme="1"/>
        <rFont val="Arial"/>
      </rPr>
      <t xml:space="preserve">Could be better:
Problem statement could specify why current resources, if any, are insufficient (e.g., are they generic, time-consuming to access, or lack practical context?). It could also further emphasise how this lack of resources affects officers’ ability to contribute effectively or progress in their careers.
</t>
    </r>
    <r>
      <rPr>
        <sz val="10"/>
        <color theme="1"/>
        <rFont val="Arial"/>
      </rPr>
      <t xml:space="preserve">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Many public officers, especially those new to the role or the organization, lack easy access to targeted, bite-sized resources that provide self-help, motivational guidance, and coaching specifically for navigating the government environment. Existing materials may be too general or difficult to apply to the unique challenges of the government setting.
</t>
    </r>
    <r>
      <rPr>
        <b/>
        <sz val="10"/>
        <color theme="1"/>
        <rFont val="Arial"/>
      </rPr>
      <t xml:space="preserve">This causes problem for: </t>
    </r>
    <r>
      <rPr>
        <sz val="10"/>
        <color theme="1"/>
        <rFont val="Arial"/>
      </rPr>
      <t xml:space="preserve">Officers who struggle to adapt and thrive in their roles, often feeling unmotivated or disengaged, leading to missed opportunities for skill development and reduced workplace morale.
</t>
    </r>
    <r>
      <rPr>
        <b/>
        <sz val="10"/>
        <color theme="1"/>
        <rFont val="Arial"/>
      </rPr>
      <t>This is important because:</t>
    </r>
    <r>
      <rPr>
        <sz val="10"/>
        <color theme="1"/>
        <rFont val="Arial"/>
      </rPr>
      <t xml:space="preserve"> Providing accessible, contextualized resources can help officers feel more supported and motivated, enhancing their engagement, productivity, and long-term contribution to their teams and departments.
--
</t>
    </r>
    <r>
      <rPr>
        <b/>
        <sz val="10"/>
        <color theme="1"/>
        <rFont val="Arial"/>
      </rPr>
      <t xml:space="preserve">Questions to consider for proposed solution:
</t>
    </r>
    <r>
      <rPr>
        <sz val="10"/>
        <color theme="1"/>
        <rFont val="Arial"/>
      </rPr>
      <t xml:space="preserve">- What format would best suit these resources (e.g., short articles, videos, peer-to-peer coaching)?
- Could the resources be personalised to different career stages or job functions?
- How can the solution ensure that resources are both practical and aligned with real workplace challenges?
</t>
    </r>
    <r>
      <rPr>
        <b/>
        <sz val="10"/>
        <color theme="1"/>
        <rFont val="Arial"/>
      </rPr>
      <t xml:space="preserve">Potential Challenges: 
</t>
    </r>
    <r>
      <rPr>
        <sz val="10"/>
        <color theme="1"/>
        <rFont val="Arial"/>
      </rPr>
      <t xml:space="preserve">- Ensuring the resources stay relevant and reflect the latest organizational changes or practices.
- Encouraging officers to actively engage with these resources and incorporate them into their daily routines.
- Balancing motivational content with practical guidance so that the resources are both inspiring and useful.
</t>
    </r>
  </si>
  <si>
    <t>(1) Target user group: Need to be sharper on who the target auidence is as their consumption habits and needs vary.
(2) Appreciate the clean and simple UI. The topline message is deliver within 1 page and without the user having to navigate further (convenient access without need to process).
(3) The content needs to be relevant, contextualised to our operating environment and enticing to attract eyeballs and return visits.
(4) How are you going to spread the message, raise awareness and get contributions.
(5) Suggestion to include access to past issues.</t>
  </si>
  <si>
    <t>Improvements:
(1) Provide concise background info on what the app is about to lend more context
(2) Focus content on a more specific user group (i.e. new to government hires)
(3) Include access to pass issues</t>
  </si>
  <si>
    <t xml:space="preserve">Background context] Many public officers, especially those new to the government sector, lack easy access to targeted, bite-sized resources that provide self-help, motivational guidance, and coaching specifically for navigating the government environment. Existing materials may be too generic or difficult to apply to the unique challenges of the government setting.
This causes problem for: New public officers who struggle to adapt and thrive in their new environment, often feeling unmotivated or disengaged, leading to missed opportunities for skill development and reduced workplace morale.
This is important because: Providing accessible, contextualized resources can help officers feel more supported and motivated, enhancing their engagement, productivity, and long-term contribution to their teams and departments.
</t>
  </si>
  <si>
    <t xml:space="preserve">"Daily Roti for the Govman" offers simple to follow practical advice and resources to help officers (1) understand the workings of government and (2) self-improve and become more effective staffers.
The content is delivered through 1-page EDMs with a clean UI.
</t>
  </si>
  <si>
    <t xml:space="preserve">Content-wise, the website is a bit lacking. The content is not able to answer some of the more difficult questions. </t>
  </si>
  <si>
    <t xml:space="preserve">beyond the current content, in order to make the web app current, I will try to incorporate an AI chat bot that will provide current information. 
</t>
  </si>
  <si>
    <t xml:space="preserve">Aerosol Injection (AI) is an idea to help cool down the Earth by putting tiny, shiny particles high up in the sky to reflect some of the Sun’s heat. But people don’t know if this idea will be safe or if it will work well. Many people also don’t know much about it, which makes them feel unsure and a bit worried. It’s important to help everyone understand this idea better and decide if it is a good way to help with climate change.
</t>
  </si>
  <si>
    <t>The web app will aim to raise awareness and also attempt to answer any clarifications, the visitors might have, using an AI chat bot.</t>
  </si>
  <si>
    <t xml:space="preserve">Aerosol Injection
</t>
  </si>
  <si>
    <t>https://simhanqiang.com/</t>
  </si>
  <si>
    <t>A web app that explains what aerosol injection is, its beneifts and concerns through the use of AI.</t>
  </si>
  <si>
    <t>- I have earlier proposed in Col. F that the platform can be catered to any target audience (e.g. inventors and investors), it is proposed to narrow the target audience (inventor and investors) or to address several problem statements to attract the ideal inventor and investors to come to this new platform
- Aside to getting funding for the creators/inventors, what additional support would the creators require to be successful? Aside from monetary support, are there other areas that creators will require support in (e.g. access to equipment, expertise advice)</t>
  </si>
  <si>
    <t>- I will focus the platform to cater to creators/inventors with good ideas from lower social economic status or with financial difficulties
- This platform will have a clearer purpose by leaning towards positive social outcomes. It could help uplift the creator/inventor's standard of living should the product can be commercialised.
- I will ensure that the platform itself comprise different areas of support that the creator after getting funded.</t>
  </si>
  <si>
    <t>With the rising cost of living, there is a need to relook at how Singapore can overcome the high cost of living with suitable initiatives. Aside from increasing productivity, encouraging more people from lower social economic status or with financial difficulties to innovate and turn their ideas into reality. They may be unsure of how they can execute their ideas, seek seed funding as well as bringing their product to the market.</t>
  </si>
  <si>
    <t>The aim of this web app brings investors, and entrepreneurs and inventors from lower social economic status / financial difficulties into a single platform. The platform will serve three objectives: (i) Social objective to uplift first-time entrepreneurs and inventors from the lower social economic status or facing financial difficulty  (ii) Investors can evaluate and fund ideas from the inventors and entreprenuers; (iii) entreprenuers and inventors can list their proposals in this site to get funding, they can also indicate whether they require additional support (e.g. mentorship) from investors that choose to fund them.
By understanding the needs/gaps of the entrepreneurs as they will indicate additional support from their investor, it can help increase the overall chances of a successful product launch. It is also noted that while the inventor may have good technical and R&amp;D competencies, more often that not, they may not be well-versed in other areas (e.g. managing a business, negotiations, legal, etc.). We hope that the platform can tackle some of these challenges when starting a company.</t>
  </si>
  <si>
    <t>Innovation Hub</t>
  </si>
  <si>
    <t>Investforgood.co</t>
  </si>
  <si>
    <r>
      <rPr>
        <sz val="10"/>
        <color theme="1"/>
        <rFont val="Arial"/>
      </rPr>
      <t xml:space="preserve">Teachers need to stay updated on the latest digital tools to enhance productivity amidst their busy schedules and other higher work priorities, such as Teaching and Learning </t>
    </r>
    <r>
      <rPr>
        <sz val="10"/>
        <color rgb="FFB45F06"/>
        <rFont val="Arial"/>
      </rPr>
      <t xml:space="preserve">(T&amp;L) </t>
    </r>
    <r>
      <rPr>
        <sz val="10"/>
        <color theme="1"/>
        <rFont val="Arial"/>
      </rPr>
      <t xml:space="preserve">and holistic development of their students. </t>
    </r>
    <r>
      <rPr>
        <sz val="10"/>
        <color rgb="FFB45F06"/>
        <rFont val="Arial"/>
      </rPr>
      <t>However</t>
    </r>
    <r>
      <rPr>
        <sz val="10"/>
        <color theme="1"/>
        <rFont val="Arial"/>
      </rPr>
      <t xml:space="preserve">, this </t>
    </r>
    <r>
      <rPr>
        <sz val="10"/>
        <color rgb="FFB45F06"/>
        <rFont val="Arial"/>
      </rPr>
      <t>requires</t>
    </r>
    <r>
      <rPr>
        <sz val="10"/>
        <color theme="1"/>
        <rFont val="Arial"/>
      </rPr>
      <t xml:space="preserve"> additional time to research and understand these digital tools before selecting a suitable one for their needs. </t>
    </r>
    <r>
      <rPr>
        <sz val="10"/>
        <color rgb="FFB45F06"/>
        <rFont val="Arial"/>
      </rPr>
      <t>This process takes away time that could be better spent on their core duties and higher work priorities.</t>
    </r>
  </si>
  <si>
    <t>Paper protoype was first done with 1 user to test out the problem statement, concept and proposed layout of the web app. Feedback given was the teachers do face this stated problem statement and user raised 1 point to note that the layout would need to be designed such that it would not overwhelm the user with info or impede the use of this web app. Based on the feedback gathered from paper prototype, clickable prototype was then introduced to 6 other users to test out the usability of the web app and assumptions made, and whether the problem statement still hold true.
Key insights gathered from the clickable prototype:
1. While the web app is useful for teachers and the problem statement is validated with all the users, the instructions on how to use the web app need to be made more explicitly.
2. Navigation within the webpage needs improvements to improve usability, such as opening of links in new window and positioning &amp; size of web elements.
3. It would be more useful if more info about the recommended digital tool could be given.
4. Suggestions to include a few more digital tools.</t>
  </si>
  <si>
    <t>I would make the following changes to my web app:
1. Refine the instructions on how to use the web app, and word phrasings in other parts of the webpage.
2. Improve the usability of the web app, such as configuring the opening of links in new window, removing unnecessary web elements, adjusting words' size, and repositioning some web elements.
3. Beef up the information given for the different recommended digital tools.
4. Include a few more digital tools and their use cases.
After implementing these changes, further testing will be done with the users to continue refining of the web app.</t>
  </si>
  <si>
    <r>
      <rPr>
        <sz val="10"/>
        <color theme="1"/>
        <rFont val="Arial"/>
      </rPr>
      <t xml:space="preserve">Teachers need to stay updated on the latest digital tools to enhance productivity amidst their busy schedules and other higher work priorities, such as Teaching and Learning </t>
    </r>
    <r>
      <rPr>
        <sz val="10"/>
        <color rgb="FFB45F06"/>
        <rFont val="Arial"/>
      </rPr>
      <t xml:space="preserve">(T&amp;L) </t>
    </r>
    <r>
      <rPr>
        <sz val="10"/>
        <color theme="1"/>
        <rFont val="Arial"/>
      </rPr>
      <t xml:space="preserve">and holistic development of their students. </t>
    </r>
    <r>
      <rPr>
        <sz val="10"/>
        <color rgb="FFB45F06"/>
        <rFont val="Arial"/>
      </rPr>
      <t>However</t>
    </r>
    <r>
      <rPr>
        <sz val="10"/>
        <color theme="1"/>
        <rFont val="Arial"/>
      </rPr>
      <t xml:space="preserve">, this </t>
    </r>
    <r>
      <rPr>
        <sz val="10"/>
        <color rgb="FFB45F06"/>
        <rFont val="Arial"/>
      </rPr>
      <t>requires</t>
    </r>
    <r>
      <rPr>
        <sz val="10"/>
        <color theme="1"/>
        <rFont val="Arial"/>
      </rPr>
      <t xml:space="preserve"> additional time to research and understand these digital tools before selecting a suitable one for their needs. </t>
    </r>
    <r>
      <rPr>
        <sz val="10"/>
        <color rgb="FFB45F06"/>
        <rFont val="Arial"/>
      </rPr>
      <t>This process takes away time that could be better spent on their core duties and higher work priorities.</t>
    </r>
  </si>
  <si>
    <t>Digital Tool Advisor</t>
  </si>
  <si>
    <t>https://digital-tool.work</t>
  </si>
  <si>
    <t>My web app aims to help busy teachers navigate the digital landscape, by recommending specific digital tools based on their use cases. This will help reduce the time needed for them to research and understand these tools, hence empowering them to focus on their core duties such as Teaching and Learning (T&amp;L) and holistic development of their students.</t>
  </si>
  <si>
    <r>
      <t xml:space="preserve">Concise, Clearly defined target user, hypothesis and consequence. Can do more user research to understand more on the pain points and depth of problem.
</t>
    </r>
    <r>
      <rPr>
        <b/>
        <sz val="10"/>
        <rFont val="Arial"/>
      </rPr>
      <t>Multiple factors contribute to food wastage in catered events:</t>
    </r>
    <r>
      <rPr>
        <sz val="10"/>
        <color rgb="FF000000"/>
        <rFont val="Arial"/>
        <scheme val="minor"/>
      </rPr>
      <t xml:space="preserve">
1. Oversized portions by caterers
2. Catered food does not taste nice, leading to less consumption
3. Participants having other meal plans, eating less
4. Organisers overordering due to past feedback on insufficient food
5. Uncertain attendance with no-shows or unexpected guests
</t>
    </r>
    <r>
      <rPr>
        <b/>
        <sz val="10"/>
        <color rgb="FF674EA7"/>
        <rFont val="Arial"/>
      </rPr>
      <t xml:space="preserve">Current problem statement assumes participant feedback on portion sizes would reduce wastage, but this may not address root causes.
</t>
    </r>
    <r>
      <rPr>
        <sz val="10"/>
        <color rgb="FF000000"/>
        <rFont val="Arial"/>
        <scheme val="minor"/>
      </rPr>
      <t xml:space="preserve">
</t>
    </r>
    <r>
      <rPr>
        <b/>
        <sz val="10"/>
        <rFont val="Arial"/>
      </rPr>
      <t>Examples from caterers attempting to curb wastage:</t>
    </r>
    <r>
      <rPr>
        <sz val="10"/>
        <color rgb="FF000000"/>
        <rFont val="Arial"/>
        <scheme val="minor"/>
      </rPr>
      <t xml:space="preserve">
</t>
    </r>
    <r>
      <rPr>
        <b/>
        <sz val="10"/>
        <rFont val="Arial"/>
      </rPr>
      <t xml:space="preserve">1. Food for Thought: </t>
    </r>
    <r>
      <rPr>
        <sz val="10"/>
        <color rgb="FF000000"/>
        <rFont val="Arial"/>
        <scheme val="minor"/>
      </rPr>
      <t xml:space="preserve">Limits items per person and charges a wastage surcharge by weighing leftover food.
</t>
    </r>
    <r>
      <rPr>
        <b/>
        <sz val="10"/>
        <rFont val="Arial"/>
      </rPr>
      <t>2. Andaz Hotel:</t>
    </r>
    <r>
      <rPr>
        <sz val="10"/>
        <color rgb="FF000000"/>
        <rFont val="Arial"/>
        <scheme val="minor"/>
      </rPr>
      <t xml:space="preserve"> Charges diners a food wastage surcharge based on leftover weight.
3. World Wildlife Fund (WWF) engaged IDEO, a human-centric design firm, to prototype strategies for buffet waste reduction at The Hyatt Regency Orlando: </t>
    </r>
    <r>
      <rPr>
        <u/>
        <sz val="10"/>
        <color rgb="FF1155CC"/>
        <rFont val="Arial"/>
      </rPr>
      <t>Article to prevent food waste</t>
    </r>
    <r>
      <rPr>
        <sz val="10"/>
        <color rgb="FF000000"/>
        <rFont val="Arial"/>
        <scheme val="minor"/>
      </rPr>
      <t xml:space="preserve">
</t>
    </r>
    <r>
      <rPr>
        <b/>
        <sz val="10"/>
        <color rgb="FF741B47"/>
        <rFont val="Arial"/>
      </rPr>
      <t xml:space="preserve">Might need to rework proposed solution </t>
    </r>
    <r>
      <rPr>
        <sz val="10"/>
        <color rgb="FF000000"/>
        <rFont val="Arial"/>
        <scheme val="minor"/>
      </rPr>
      <t xml:space="preserve">
</t>
    </r>
    <r>
      <rPr>
        <b/>
        <sz val="10"/>
        <rFont val="Arial"/>
      </rPr>
      <t>Proposed solution could potentially consider a holistic approach:</t>
    </r>
    <r>
      <rPr>
        <sz val="10"/>
        <color rgb="FF000000"/>
        <rFont val="Arial"/>
        <scheme val="minor"/>
      </rPr>
      <t xml:space="preserve">
1. </t>
    </r>
    <r>
      <rPr>
        <b/>
        <sz val="10"/>
        <rFont val="Arial"/>
      </rPr>
      <t xml:space="preserve">Attendance prediction: </t>
    </r>
    <r>
      <rPr>
        <sz val="10"/>
        <color rgb="FF000000"/>
        <rFont val="Arial"/>
        <scheme val="minor"/>
      </rPr>
      <t>More accurate RSVPs with real-time tracking
2.</t>
    </r>
    <r>
      <rPr>
        <b/>
        <sz val="10"/>
        <rFont val="Arial"/>
      </rPr>
      <t xml:space="preserve"> Flexible portioning: </t>
    </r>
    <r>
      <rPr>
        <sz val="10"/>
        <color rgb="FF000000"/>
        <rFont val="Arial"/>
        <scheme val="minor"/>
      </rPr>
      <t xml:space="preserve">Options like bento sets to control portions
3. </t>
    </r>
    <r>
      <rPr>
        <b/>
        <sz val="10"/>
        <rFont val="Arial"/>
      </rPr>
      <t xml:space="preserve">Food redistribution: </t>
    </r>
    <r>
      <rPr>
        <sz val="10"/>
        <color rgb="FF000000"/>
        <rFont val="Arial"/>
        <scheme val="minor"/>
      </rPr>
      <t xml:space="preserve">Partnering with donation organizations to manage surplus food
4. </t>
    </r>
    <r>
      <rPr>
        <b/>
        <sz val="10"/>
        <rFont val="Arial"/>
      </rPr>
      <t>Offering takeaway boxes</t>
    </r>
    <r>
      <rPr>
        <sz val="10"/>
        <color rgb="FF000000"/>
        <rFont val="Arial"/>
        <scheme val="minor"/>
      </rPr>
      <t xml:space="preserve"> for participants to bring back home some of the food can reduce food wastage
5. Offering stategies for buffet caterers to reduce food wastafe e.g. change the way of food display </t>
    </r>
    <r>
      <rPr>
        <u/>
        <sz val="10"/>
        <color rgb="FF1155CC"/>
        <rFont val="Arial"/>
      </rPr>
      <t>Article to prevent food waste</t>
    </r>
    <r>
      <rPr>
        <sz val="10"/>
        <color rgb="FF000000"/>
        <rFont val="Arial"/>
        <scheme val="minor"/>
      </rPr>
      <t xml:space="preserve">
</t>
    </r>
    <r>
      <rPr>
        <b/>
        <sz val="10"/>
        <rFont val="Arial"/>
      </rPr>
      <t xml:space="preserve">Question on how would you measure effectiveness: </t>
    </r>
    <r>
      <rPr>
        <sz val="10"/>
        <color rgb="FF000000"/>
        <rFont val="Arial"/>
        <scheme val="minor"/>
      </rPr>
      <t xml:space="preserve"> How would you go about tracking food wastage reduction in govt agency catering by comparing current and future food wastage levels?</t>
    </r>
  </si>
  <si>
    <t xml:space="preserve">A total of four users were interviewed. They confirmed the relevance of food waste concerns, but highlighted the need to differentiate the purpose of this app from simpler, existing solutions, such as Telegram or Teams channels that can be used to notify employees about leftovers from buffet lines. This feedback suggests a need to refine the problem statement to sharpen the app’s unique benefit of preventing over-ordering at the upstream (i.e. before the order has been placed process). 
Users also provided detailed feedback on the prototype. 
For the homepage, where the user will key in their food portions. They suggested:
1, visual aids in the web app to clarify what the portion size looks like; 
2. additional portion options, like a "2-portion" choice and a “few pieces for taste” to replace 1/3 portion that is unclear; 
3. a feedback mechanism to enhance the app’s precision over time, particularly to prevent under-catering; and  
4. a field to input any special dietary requirement. 
For the confirmation page, which they will be led to after they have input their entries, they found:
1. the bar chart that indicated projected leftover dishes to be confusing. They recommended an out-of-app solution, i.e. to announce leftovers on the event day, via a dedicated Teams channel instead. They said that such projection is not useful as it may not be accurate. 
2. Additionally, users expressed a deep-rooted fear of under-catering. To address this, there may be a need to pilot the app at lower-risk, internal events. There may also be a need to remind to participants that food ordering is based on app estimations, so no individual is blamed if under-catering occurs.
</t>
  </si>
  <si>
    <t xml:space="preserve">I plan to address most of the insights gathered. E.g. for the confirmation page, I’ll remove the bar chart showing projected consumption and projected leftover amounts. In its place, I’ll add a broader message highlighting projected cost savings for MDDI through the use of this app, along with a PSA pointing users to the Teams channel that MDDI staff can join to receive leftover notifications. However, I will not take in the input of allowing users to indicate more than 1 portion, as the app's main intention is to save costs. The assumption is that users should only take their assigned food portion. In terms of the problem statement, I’ll explicitly include cost savings for MDDI as a core objective. This adjustment will clarify the app’s unique proposition: reducing food waste and cost savings for the Ministry through more precise ordering. </t>
  </si>
  <si>
    <t xml:space="preserve">Many govt agencies cater buffet for events but face challenges in estimating food quantities accurately, as there is no way of knowing how much each participant eat without getting his/her feedback. This leads to over-catering, which result in food wastage and also hurt the Ministries' pockets. There needs to be a solution at the upstream before the order is being placed so that event participants, whom the buffet is meant for, are fed, and mitigation measures to distribute food waste can be negated.  </t>
  </si>
  <si>
    <t>The app enables event participants to indicate their dietary preferences and portion sizes, making catering more precise thus saving cost for the agencies while reducing food waste.</t>
  </si>
  <si>
    <t>Food Waste Warrior</t>
  </si>
  <si>
    <t>https://food-waste-warrior.com/</t>
  </si>
  <si>
    <t>5 min is all it takes for user to be glorified as MDDI's food waste warrior - someone who contributes in minimising food waste and unneeded spending on MDDI's buffet lines.</t>
  </si>
  <si>
    <t>Raymond Huynh</t>
  </si>
  <si>
    <t xml:space="preserve">Today, in the lives of Singaporean fulltime working couples without kids (DINKS) there is added daily cognitive load to determine if and what to eat for dinner. This added cognitive load leads to undue stress and often suboptimal choices for dinner.
</t>
  </si>
  <si>
    <t>Short Term MVP: DinnerWhere would be a webapp whereby there are inputs that each individual enters daily (cuisine, dinner time, relationship dynamic, etc) this would then recommend an appropriate time and place for dinner. Logic for mvp would be determinisitic with some hardcoded options.
Medium Term: Implement open source LLMs to synthesis recomendations for places to eat based on the deterministic output matrix from the MVP.
Longer Term Vision: Machine learning model to synthesise cuisine to eat, time to eat, etc. This would then be the input to the LLM to synthesis where to eat. Future optimisations wold also integrate to platforms that can make bookings and order food.</t>
  </si>
  <si>
    <r>
      <rPr>
        <b/>
        <sz val="10"/>
        <color theme="1"/>
        <rFont val="Arial"/>
      </rPr>
      <t xml:space="preserve">What's good:
</t>
    </r>
    <r>
      <rPr>
        <sz val="10"/>
        <color theme="1"/>
        <rFont val="Arial"/>
      </rPr>
      <t xml:space="preserve">✓ Target users clear (Singaporean full-time working couples without kids)
✓ Pain points clear (added cognitive load in deciding what to eat for dinner daily)
✓ Consequences clear (cognitive overload leading to stress and suboptimal dinner choices are well-stated)
✓ Problem depth sufficiently understood, particularly the impact of repeated decision-making on cognitive load and meal quality
</t>
    </r>
    <r>
      <rPr>
        <b/>
        <sz val="10"/>
        <color theme="1"/>
        <rFont val="Arial"/>
      </rPr>
      <t xml:space="preserve">Could be better:
Problem statement could expand on what makes this decision particularly challenging in the Singaporean context (e.g., wide variety of options, long work hours, etc.). Additionally, specifying what "suboptimal choices" means (e.g., unhealthy food, convenience options, or lack of variety) would clarify the issue further.
</t>
    </r>
    <r>
      <rPr>
        <sz val="10"/>
        <color theme="1"/>
        <rFont val="Arial"/>
      </rPr>
      <t xml:space="preserve">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Singaporean full-time working couples without children often face the added daily cognitive burden of deciding what to eat for dinner. This choice becomes particularly challenging after a long workday, given the wide array of food options and the pressure to choose something healthy or satisfying.
</t>
    </r>
    <r>
      <rPr>
        <b/>
        <sz val="10"/>
        <color theme="1"/>
        <rFont val="Arial"/>
      </rPr>
      <t xml:space="preserve">This causes problem for: </t>
    </r>
    <r>
      <rPr>
        <sz val="10"/>
        <color theme="1"/>
        <rFont val="Arial"/>
      </rPr>
      <t xml:space="preserve">These couples, who end up feeling stressed and often resort to quick, unhealthy, or repetitive dinner choices that may not support their dietary or lifestyle goals.
</t>
    </r>
    <r>
      <rPr>
        <b/>
        <sz val="10"/>
        <color theme="1"/>
        <rFont val="Arial"/>
      </rPr>
      <t>This is important because:</t>
    </r>
    <r>
      <rPr>
        <sz val="10"/>
        <color theme="1"/>
        <rFont val="Arial"/>
      </rPr>
      <t xml:space="preserve"> Reducing the cognitive load associated with meal planning can help these individuals make healthier, more intentional food choices, leading to improved wellbeing and reduced decision fatigue after a busy workday.
--
</t>
    </r>
    <r>
      <rPr>
        <b/>
        <sz val="10"/>
        <color theme="1"/>
        <rFont val="Arial"/>
      </rPr>
      <t xml:space="preserve">Questions to consider for proposed solution:
</t>
    </r>
    <r>
      <rPr>
        <sz val="10"/>
        <color theme="1"/>
        <rFont val="Arial"/>
      </rPr>
      <t xml:space="preserve">- Could the solution suggest personalised meal options based on past preferences or nutritional goals?
- How might it automate or streamline meal planning to reduce daily decision-making?
- Could the solution integrate with delivery services to further ease the dinner planning process?
</t>
    </r>
    <r>
      <rPr>
        <b/>
        <sz val="10"/>
        <color theme="1"/>
        <rFont val="Arial"/>
      </rPr>
      <t xml:space="preserve">Potential Challenges: 
</t>
    </r>
    <r>
      <rPr>
        <sz val="10"/>
        <color theme="1"/>
        <rFont val="Arial"/>
      </rPr>
      <t xml:space="preserve">- Balancing variety with user preferences so couples don’t feel they are choosing from repetitive options.
- Encouraging consistent use of the solution without it becoming an additional task in itself.
</t>
    </r>
  </si>
  <si>
    <t>Nelle Ng</t>
  </si>
  <si>
    <t>Public Officers in the Funan area often compromise on their lunch options or experience decision paralysis given their day-to-day circumstances. This results in non-optimal lunch selections that may impact their morale and energy to do work, because they are unable to satisfactorily meet their needs and preferences simultaneously.</t>
  </si>
  <si>
    <t>App asks a set of questions to identify the mood, preferences and needs of the user. Based on this, will print the best food place option (from a database, to be integrated/ made more accurate with Google Maps API's info on congestion/ waiting times/ reviews/ price points/ etc).</t>
  </si>
  <si>
    <r>
      <rPr>
        <b/>
        <sz val="11"/>
        <color theme="1"/>
        <rFont val="Arial"/>
      </rPr>
      <t xml:space="preserve">Problem statement
</t>
    </r>
    <r>
      <rPr>
        <b/>
        <sz val="10"/>
        <color theme="1"/>
        <rFont val="Arial"/>
      </rPr>
      <t xml:space="preserve">What works
</t>
    </r>
    <r>
      <rPr>
        <sz val="10"/>
        <color theme="1"/>
        <rFont val="Arial"/>
      </rPr>
      <t xml:space="preserve">👍 User: Public officers
</t>
    </r>
    <r>
      <rPr>
        <b/>
        <sz val="10"/>
        <color theme="1"/>
        <rFont val="Arial"/>
      </rPr>
      <t xml:space="preserve">👍 </t>
    </r>
    <r>
      <rPr>
        <sz val="10"/>
        <color theme="1"/>
        <rFont val="Arial"/>
      </rPr>
      <t xml:space="preserve">Action/what: Compromise on lunch options
👍 Context/when &amp; where: Funan area during lunch time
👍 Impact/what: Low morale and energy
</t>
    </r>
    <r>
      <rPr>
        <b/>
        <sz val="10"/>
        <color theme="1"/>
        <rFont val="Arial"/>
      </rPr>
      <t>Considerations for improvements
🧠</t>
    </r>
    <r>
      <rPr>
        <sz val="10"/>
        <color theme="1"/>
        <rFont val="Arial"/>
      </rPr>
      <t xml:space="preserve">Think about what's causing the decision paralysis (e.g., limited options, dietary needs, budget constraints, time pressures) would make it clearer why the issue exists and what factors need addressing.
</t>
    </r>
    <r>
      <rPr>
        <b/>
        <sz val="10"/>
        <color theme="1"/>
        <rFont val="Arial"/>
      </rPr>
      <t>🧠</t>
    </r>
    <r>
      <rPr>
        <sz val="10"/>
        <color theme="1"/>
        <rFont val="Arial"/>
      </rPr>
      <t xml:space="preserve">What are non-optimal lunch selections? Is the food unhealthy, unsatisfying, or simply not energising enough? Specifying this will make it clearer what kind of solution might be needed.
</t>
    </r>
    <r>
      <rPr>
        <b/>
        <sz val="10"/>
        <color theme="1"/>
        <rFont val="Arial"/>
      </rPr>
      <t>🧠</t>
    </r>
    <r>
      <rPr>
        <sz val="10"/>
        <color theme="1"/>
        <rFont val="Arial"/>
      </rPr>
      <t xml:space="preserve">Instead of “may impact their morale,” being more direct can make the statement stronger. If this is an observed problem, assert it as a fact to give the issue more weight.
</t>
    </r>
    <r>
      <rPr>
        <b/>
        <sz val="10"/>
        <color theme="1"/>
        <rFont val="Arial"/>
      </rPr>
      <t>🧠</t>
    </r>
    <r>
      <rPr>
        <sz val="10"/>
        <color theme="1"/>
        <rFont val="Arial"/>
      </rPr>
      <t xml:space="preserve">Is the impact on the officer's morale or energy? Similarly, is the problem decision paralysis or officers not being able to find something they like around the area? Being clearer on the problem and impact can make the solution more focused.
🧠Are there any secondary issues connected to this problem that might also need addressing, such as time constraints, social dynamics, or accessibility?
</t>
    </r>
    <r>
      <rPr>
        <b/>
        <sz val="12"/>
        <color theme="1"/>
        <rFont val="Arial"/>
      </rPr>
      <t xml:space="preserve">Solution
</t>
    </r>
    <r>
      <rPr>
        <sz val="10"/>
        <color theme="1"/>
        <rFont val="Arial"/>
      </rPr>
      <t xml:space="preserve">🤔If the problem is low morale/energy, is the solution addressing the root cause of the problem?
</t>
    </r>
    <r>
      <rPr>
        <b/>
        <sz val="10"/>
        <color theme="1"/>
        <rFont val="Arial"/>
      </rPr>
      <t>🤔</t>
    </r>
    <r>
      <rPr>
        <sz val="10"/>
        <color theme="1"/>
        <rFont val="Arial"/>
      </rPr>
      <t>Could there be limitations in the recommended choices that might not fully address the “sub-optimal lunch” issue described in the problem statement?</t>
    </r>
    <r>
      <rPr>
        <b/>
        <sz val="10"/>
        <color theme="1"/>
        <rFont val="Arial"/>
      </rPr>
      <t xml:space="preserve">
🤔</t>
    </r>
    <r>
      <rPr>
        <sz val="10"/>
        <color theme="1"/>
        <rFont val="Arial"/>
      </rPr>
      <t>How does the app account for user dissatisfaction if the recommended option doesn’t meet their expectations? Could this affect their overall experience with the app and make them feel similarly “stuck” as before?
🤔What do users ideally want from their lunchtime experience? Have you identified specific goals (e.g., speed, satisfaction, healthiness, cost)?</t>
    </r>
  </si>
  <si>
    <t>Users provided detailed feedback on the prototype
- Generally clear but needs a balance between minimalist and maximalist options
- Giving too many options would create decision paralysis also</t>
  </si>
  <si>
    <t>- Need more testing
- Good to have an individual profile/ account to record preferences
- Cool to have a page where you can see your colleagues' food preferences</t>
  </si>
  <si>
    <t>Junior Public Officers often struggle to connect with their Senior counterparts due to the lack of common topics of interest outside of work. This results in social bubbles and communication apprehension because their interactions are limited to work instead of actively developing an interpersonal understanding.</t>
  </si>
  <si>
    <t>- Public Officers can register their Lunch Buddy profile with a variety of characteristics (nickname, favourite food, eating personality, allergies, junior/senior role, gender). 
- Every Monday and Thursday, the app will pair up Junior-Senior Lunch Buddies and send a notification will be sent via the app. 
- If both parties accept the Lunch Buddy that they are paired up with, a notification with a suggested lunch location (preferably equidistant to their workplaces) will be sent to their emails with each cc-ed inside so they may arrange further.
* Understand that some may feel uncomfortable meeting the opposite gender 1on1, so an opt-out option will be provided at the registration page.</t>
  </si>
  <si>
    <t>Lunch Buddy</t>
  </si>
  <si>
    <t xml:space="preserve">SNDGO Public Officers currently struggle to find suitable tech mentors due to the current process, which relies on manually reviewing a Word document, reaching out to mentors directly, and submitting confirmed pairing to HR. This approach is inefficient and cumbersome due to the large number of mentor profiles &amp; information to review, leading to a suboptimal user experience that hinders effective mentor-mentee matching.
</t>
  </si>
  <si>
    <t>- Public officers find the current process of searching for mentors very manual (either review a document with mentor profiles, or provided shortlisted mentors from HR) - prefer a self help option.
- Users may find it daunting to provide personal information at the landing page
- Users want additional mentor information (e.g. about me, years of exp, hobbies, etc) to help with decision making
- Another key pain point after identifying mentor(s) is securing a time to have initial chat with them</t>
  </si>
  <si>
    <t>- Include a home page and CTA button for user to self-navigate to the form
- Build detailed mentor profiles with key information for user consideration (e.g. name, role/agency, years of exp, mentoring areas, about me, hobbies, etc)
- Include a button on mentor profile for user to easily book a slot with prospective mentor</t>
  </si>
  <si>
    <t>MDDI Public officers who are interested in mentoring face challenges in finding suitable tech mentors in the ICT &amp; SS sector due to the inefficient and cumbersome manual process. The large volume of mentor profiles, coupled with the difficulty of scheduling initial mentor chats, makes it time-consuming to identify and connect with the right mentor(s).</t>
  </si>
  <si>
    <t>The app aims to enhance the mentee’s mentor matching experience, enabling mentees to easily browse and find mentors that align with their specific needs and goals. Additionally, to help mentees set up their 1st mentor chat to engage prospective mentors on mentoring them.</t>
  </si>
  <si>
    <t>Mentee-Meets-Mentor (MMM)</t>
  </si>
  <si>
    <t>https://mentee-meets-mentor.app/</t>
  </si>
  <si>
    <t xml:space="preserve">Mentee-Meets-Mentor is here to e(M)power public officers on their tech mentorship journey. The platform offers a seamless way to explore and search for an ideal mentor from a diverse pool of experienced professionals across MDDI. With just a few clicks, mentees can filter and shortlist mentors based on their unique needs and goals, before booking a 30-minute intro mentor chat within the next two weeks to assess compatibility and kickstart your mentorship journey. </t>
  </si>
  <si>
    <t>Diabetics find it difficult to maintain a healthy diet relying only on diabetic-friendly-branded foods and desserts. There is often a price premium that makes it difficult for many to adhere to their dietary requirements on a consistent, long-term basis.
Effective diabetes management extends beyond controlling blood sugar levels. Weight management plays a crucial role, so a broader range of dietary considerations including low fat, low calorie, and low carb options may be helpful
Users also appreciate an option to include other dietary preferences/restrictions (e.g., allergies, halal, vegetarian).</t>
  </si>
  <si>
    <t xml:space="preserve">Refine focus to budget-friendly meals rather than on F&amp;B outlets across Singapore.
Include more blood sugar management options (e.g., low carb, low fat)
Include dietary preference option
Tailor recommendations to food that can generally be found islandwide, rather than to single restaurants/F&amp;B outlets to better target the sustainability angle. </t>
  </si>
  <si>
    <t>Singaporean working adults with diabetes may struggle to find affordable, diverse and healthy dining options for sustainable blood sugar management. The current process of searching for diabetic-friendly food surfaces more expensive options or generic advice (e.g., cutting down on rice portions), and may lead many to settle for less healthy, but more convenient or cheaper alternatives. This can impact quality of life as they either consume suboptimal meals or limit their social dining.</t>
  </si>
  <si>
    <t>This web app aims to provide appropriate affordable (&lt;$20) meal recommendations in Singapore for users seeking  low carb/low-GI/low/no-sugar/low fat meal options. 
For the working adult who may struggle for healthy food inspiration, the web app will have a randomiser option that will recommend a meal.</t>
  </si>
  <si>
    <t>CheapCleanEats</t>
  </si>
  <si>
    <t>https://cheapcleaneats.life/</t>
  </si>
  <si>
    <t>This web app provides diabetic-friendly affordable (&lt;$15) meal recommendations in Singapore for diabetic users seeking  low carb/low-GI/low/no-sugar/low calorie meal or snack options. 
For the working adult who may struggle for healthy food inspiration, the web app also has a random meal recommendation.</t>
  </si>
  <si>
    <t xml:space="preserve">Insights from on-the-ground observations and user interviews:
- Having kaya toast with drinks is a highly recommended tourist experience by word-of-mouth on social media. Users are therefore comfortable navigating the internet. 
- Ordering of kopi/teh is more challenging among non-chinese speaker, because menu doesn't say what "O" or "siew dai" means. Staff are too busy to explain due to long queues during peak period and language challenges. 
- Relatively less of an issue among chinese-speaking tourists as the chinese menu may provide info on the sugar level (e.g. at Ya Kun) but the menu still doesn't explain the difference between "O" vs normal kopi/teh. Language barrier is less of an issue but staff are typically too busy to explain the menu in detail. 
- Menu font size is too small and makes it hard to read.
- While there was some confusion/uncertainty at the point of ordering, it didn't significant affect the experience of the food i.e. the food was good and the drinks turned out ok. Nonetheless, users are not aware that there are more permutations of drinks available as the menu only prints standard common items, and would be interested to find out more about range of options and try out different types of kopi/teh options sometime in the rest of their trip/on their next visit. </t>
  </si>
  <si>
    <t xml:space="preserve">Users are geniunely keen to find out the full range of drinks that local may order hence the web app will provide a couple more option to allow users to customise the drink beyond what is offered on the menu. 
It is not a given that users understand the difference between some of the ingredients. Hence, apart from listing out the ingredients, useful to also provide a short explanation. </t>
  </si>
  <si>
    <t>Tourists are keen to experience local traditional breakfast culture when visiting Singapore. Kaya toast, eggs and nanyang coffee/tea (i.e. kopi/teh) is a popular option as it is recommended by other tourists on Xiaohongshu and youtube vlog. They face difficulty trying to order kopi/teh drinks due to a lack of understanding of the various drink options at outlets like Ya Kun, Toast Box. This confusion stems from unintuitive drink names, lack of information on the menu, staff who are too busy to explain or may face language barrier. This may limit tourists from making more informed choices and potentially lead to unsatisfactory customer experience such as confusion at point of ordering, getting drinks that doesn’t suit their palates.</t>
  </si>
  <si>
    <t>The web app will offer a simple and comprehensive guide to ordering Nanyang coffee and tea to help tourists make informed choices and enhance their overall experience while enjoying our traditional breakfast culture.</t>
  </si>
  <si>
    <t>Kopipro</t>
  </si>
  <si>
    <t>https://kopi-pro.com/</t>
  </si>
  <si>
    <t>This web app helps tourists looking to enjoy a cup of local coffee or tea to easily navigate the ordering process and understand what goes into their drink</t>
  </si>
  <si>
    <r>
      <rPr>
        <b/>
        <sz val="10"/>
        <color theme="1"/>
        <rFont val="Arial"/>
      </rPr>
      <t xml:space="preserve">What's good:
</t>
    </r>
    <r>
      <rPr>
        <sz val="10"/>
        <color theme="1"/>
        <rFont val="Arial"/>
      </rPr>
      <t xml:space="preserve">✓ Target users clear (people with ASD or sensory sensitivities seeking sensory-friendly dining environments)
✓ Pain points clear (difficulty finding suitable restaurants with sensory-friendly features like quiet ambiance, well-ventilation, and appropriate lighting)
✓ Consequences clear (anxiety, avoidance of dining situations, negative impact on mental well-being and social interactions)
✓ Problem depth appropriate with a strong understanding of the unique context and challenges faced by individuals with sensory sensitivities
</t>
    </r>
    <r>
      <rPr>
        <b/>
        <sz val="10"/>
        <color theme="1"/>
        <rFont val="Arial"/>
      </rPr>
      <t xml:space="preserve">Could be better:
</t>
    </r>
    <r>
      <rPr>
        <sz val="10"/>
        <color theme="1"/>
        <rFont val="Arial"/>
      </rPr>
      <t xml:space="preserve">- </t>
    </r>
    <r>
      <rPr>
        <b/>
        <sz val="10"/>
        <color theme="1"/>
        <rFont val="Arial"/>
      </rPr>
      <t xml:space="preserve">Target users: </t>
    </r>
    <r>
      <rPr>
        <sz val="10"/>
        <color theme="1"/>
        <rFont val="Arial"/>
      </rPr>
      <t xml:space="preserve">Age range, based in Singapore?
- Be more concise using problem statement format below: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Individuals in Singapore with Autism Spectrum Disorder (ASD) or sensory processing sensitivities, particularly young adults aged 18-35, often find dining in restaurants challenging due to factors like noise, lighting, ventilation, and crowd levels that can trigger sensory discomfort.
</t>
    </r>
    <r>
      <rPr>
        <b/>
        <sz val="10"/>
        <color theme="1"/>
        <rFont val="Arial"/>
      </rPr>
      <t xml:space="preserve">This causes problem for: </t>
    </r>
    <r>
      <rPr>
        <sz val="10"/>
        <color theme="1"/>
        <rFont val="Arial"/>
      </rPr>
      <t xml:space="preserve">young adults with sensory needs who wish to enjoy social dining experiences with family, friends, or colleagues.
</t>
    </r>
    <r>
      <rPr>
        <b/>
        <sz val="10"/>
        <color theme="1"/>
        <rFont val="Arial"/>
      </rPr>
      <t xml:space="preserve">because: </t>
    </r>
    <r>
      <rPr>
        <sz val="10"/>
        <color theme="1"/>
        <rFont val="Arial"/>
      </rPr>
      <t xml:space="preserve">they face heightened anxiety and often avoid dining out altogether due to a lack of accessible information on sensory-friendly restaurants tailored to their needs.
</t>
    </r>
    <r>
      <rPr>
        <b/>
        <sz val="10"/>
        <color theme="1"/>
        <rFont val="Arial"/>
      </rPr>
      <t>This is important because:</t>
    </r>
    <r>
      <rPr>
        <sz val="10"/>
        <color theme="1"/>
        <rFont val="Arial"/>
      </rPr>
      <t xml:space="preserve"> it limits their ability to participate in social activities, impacting mental well-being, leading to feelings of isolation, and reducing overall quality of life for individuals with ASD and sensory sensitivities in Singapore.
--
</t>
    </r>
    <r>
      <rPr>
        <b/>
        <sz val="10"/>
        <color rgb="FFA64D79"/>
        <rFont val="Arial"/>
      </rPr>
      <t>Might need to relook into feasibility of proposed solution</t>
    </r>
    <r>
      <rPr>
        <sz val="10"/>
        <color theme="1"/>
        <rFont val="Arial"/>
      </rPr>
      <t xml:space="preserve">
</t>
    </r>
    <r>
      <rPr>
        <b/>
        <sz val="10"/>
        <color theme="1"/>
        <rFont val="Arial"/>
      </rPr>
      <t xml:space="preserve">Questions to consider for proposed solution:
</t>
    </r>
    <r>
      <rPr>
        <sz val="10"/>
        <color theme="1"/>
        <rFont val="Arial"/>
      </rPr>
      <t xml:space="preserve">- How is the web app able to track noise level, smell level (this is subjective)? 
- This requires installing lots of sensors in restaurants in singapore (who will bear the cost? Restaurant? ASD diners? App provider?) or it will be crowdsourced through other users' feedback.
</t>
    </r>
    <r>
      <rPr>
        <b/>
        <sz val="10"/>
        <color theme="1"/>
        <rFont val="Arial"/>
      </rPr>
      <t xml:space="preserve">Potential Challenges: 
</t>
    </r>
    <r>
      <rPr>
        <sz val="10"/>
        <color theme="1"/>
        <rFont val="Arial"/>
      </rPr>
      <t xml:space="preserve">- Crowdsourced data can be subjective, so implementing a review aggregation or verification system to ensure accuracy and reliability will be essential.
- Restaurants might not prioritise providing sensory-specific information, so incentives or clear benefits (e.g., increased visibility to an underserved audience) may need to be offered.
- Ensuring that information remains up-to-date and accurate may require a significant effort in monitoring and moderating content.
</t>
    </r>
  </si>
  <si>
    <t xml:space="preserve">There were three key insights from the user interviews.  First, users were extremely enthusiastic about such an app.  Second, apart from noise, light, smells and crowds, temperature was also of concern.  Third, users preferred to be shown only the top three restaurant options meeting their search criteria to avoid being overwhelmed by the search results.  </t>
  </si>
  <si>
    <t>I would add how comfortable the temperature is as a search filter.  I would also limit search results to three restaurants.</t>
  </si>
  <si>
    <t xml:space="preserve">Adults in Singapore aged 25-64 years with sensory processing sensitivity, including those with Autism Spectrum Disorder (ASD), often find dining in restaurants challenging due to factors like noise, lighting, smells, ambient temperature and crowd levels that can trigger sensory discomfort. This is problematic because they wish to enjoy social dining experiences with family, friends, or colleagues, but face heightened anxiety and may avoid dining out altogether without access to information on restaurants that meet their sensory needs. This adversely impacts their mental and physical well-being, for example by fostering feelings of isolation, and reduces their overall quality of life.
</t>
  </si>
  <si>
    <t xml:space="preserve">The web app will allow adults in Singapore aged 25-64 years with sensory processing sensitivity (e.g. those with ASD), as well as people who plan to dine with them, to search for restaurants that meet their specific sensory needs. Search filters will include noises (loud or quiet), lights (bright or dim), smells (strong or less noticeable), ambient temperature (too hot or too cold), busy periods (specific hours), price point ($ to $$$), location, child-friendliness and dietary requirements (e.g. vegetarian, halal).  To avoid overwhelming users, search results will be limited to the top three restaurants meeting the search criteria.                                                                                    [Note: To respond to TA comments on the 1st iteration, the required information on restaurants is indeed incomplete and not yet aggregated but does feature to some extent in customer reviews.  The intent is not to use 'objective' data through sensors etc; indeed there would be no such thing since people with sensory processing sensitivity would not respond to 'objective' measures in the same way others might.  While user ratings might be subjective, this is not new e.g. reviews on how good the food is at a restaurant.  Hence, the subjectivity of user-generated ratings is less of an issue than the fact they they are fragmented and difficult to find for the required search filters.  In speaking with a TA about this in Week 1, they advised against creating a web app for submitting the relevant user ratings on restaurants, which I had considered, given the difficulty of the backend coding; and instead suggested creating dummy data for a search app, which I plan to do.] </t>
  </si>
  <si>
    <r>
      <rPr>
        <b/>
        <sz val="10"/>
        <color theme="1"/>
        <rFont val="Arial"/>
      </rPr>
      <t xml:space="preserve">What's good:
</t>
    </r>
    <r>
      <rPr>
        <sz val="10"/>
        <color theme="1"/>
        <rFont val="Arial"/>
      </rPr>
      <t xml:space="preserve">✓ Target users clear (parents of primary school students, specifically those helping their children with spelling practice)
✓ Pain points clear (tediousness of reciting spelling lists, the time-consuming nature of the process, and the need for both parent and child to be physically present)
✓ Consequences clear (process impacts family time and can take away from other valuable bonding activities)
✓ Problem depth appropriate as it reflects repetiveness of task, time required, and tedium of frequency
</t>
    </r>
    <r>
      <rPr>
        <b/>
        <sz val="10"/>
        <color theme="1"/>
        <rFont val="Arial"/>
      </rPr>
      <t xml:space="preserve">Could be better:
Problem statement could further specify the frequency of spelling tests or how much time parents typically spend on this each week. It also rests on the assumption that all parents have the language proficiency or time to conduct these tests, which can be an additional barrier.
</t>
    </r>
    <r>
      <rPr>
        <sz val="10"/>
        <color theme="1"/>
        <rFont val="Arial"/>
      </rPr>
      <t xml:space="preserve">
</t>
    </r>
    <r>
      <rPr>
        <b/>
        <sz val="10"/>
        <color rgb="FF674EA7"/>
        <rFont val="Arial"/>
      </rPr>
      <t xml:space="preserve">An example below on how to improve problem statement in this format: </t>
    </r>
    <r>
      <rPr>
        <i/>
        <sz val="10"/>
        <color theme="1"/>
        <rFont val="Arial"/>
      </rPr>
      <t>(Kindly refine problem statement in your own words)</t>
    </r>
    <r>
      <rPr>
        <sz val="10"/>
        <color theme="1"/>
        <rFont val="Arial"/>
      </rPr>
      <t xml:space="preserve">
</t>
    </r>
    <r>
      <rPr>
        <b/>
        <sz val="10"/>
        <color theme="1"/>
        <rFont val="Arial"/>
      </rPr>
      <t xml:space="preserve">[Background context] </t>
    </r>
    <r>
      <rPr>
        <sz val="10"/>
        <color theme="1"/>
        <rFont val="Arial"/>
      </rPr>
      <t xml:space="preserve">Parents of primary school students often need to help their children prepare for weekly spelling tests by manually reciting words or phrases from spelling lists. This process, which involves reciting, waiting for children to write, and often repeating words, can be time-consuming and tedious, especially when practiced multiple times a week.
</t>
    </r>
    <r>
      <rPr>
        <b/>
        <sz val="10"/>
        <color theme="1"/>
        <rFont val="Arial"/>
      </rPr>
      <t xml:space="preserve">This causes problem for: </t>
    </r>
    <r>
      <rPr>
        <sz val="10"/>
        <color theme="1"/>
        <rFont val="Arial"/>
      </rPr>
      <t xml:space="preserve">Parents who are pressed for time or may lack the language proficiency to confidently conduct the spelling test, as well as children who may feel pressure or frustration due to the repetitiveness of the practice.
</t>
    </r>
    <r>
      <rPr>
        <b/>
        <sz val="10"/>
        <color theme="1"/>
        <rFont val="Arial"/>
      </rPr>
      <t>This is important because:</t>
    </r>
    <r>
      <rPr>
        <sz val="10"/>
        <color theme="1"/>
        <rFont val="Arial"/>
      </rPr>
      <t xml:space="preserve"> A tool that automates spelling test practice could save valuable family time, reduce stress, and allow parents to focus on more meaningful activities with their children
--
</t>
    </r>
    <r>
      <rPr>
        <b/>
        <sz val="10"/>
        <color theme="1"/>
        <rFont val="Arial"/>
      </rPr>
      <t xml:space="preserve">Questions to consider for proposed solution:
</t>
    </r>
    <r>
      <rPr>
        <sz val="10"/>
        <color theme="1"/>
        <rFont val="Arial"/>
      </rPr>
      <t xml:space="preserve">- How could the solution simulate a real test environment to help students learn while keeping it engaging?
- Could the tool provide feedback or tracking to let parents monitor progress without directly testing their child?
</t>
    </r>
    <r>
      <rPr>
        <b/>
        <sz val="10"/>
        <color theme="1"/>
        <rFont val="Arial"/>
      </rPr>
      <t xml:space="preserve">Potential Challenges: 
</t>
    </r>
    <r>
      <rPr>
        <sz val="10"/>
        <color theme="1"/>
        <rFont val="Arial"/>
      </rPr>
      <t>-Ensuring that the solution is adaptable for different spelling lists and pronunciation needs.
- Balancing ease of use for young students while offering enough depth for effective practice.</t>
    </r>
  </si>
  <si>
    <t>App Name</t>
  </si>
  <si>
    <t>Website</t>
  </si>
  <si>
    <t>Description</t>
  </si>
  <si>
    <t>Travel and Transport</t>
  </si>
  <si>
    <t>No.</t>
  </si>
  <si>
    <t>Developer Name</t>
  </si>
  <si>
    <t>Introducing Culture.SG
Unified Event Aggregator – Pulls event data from NHB, NAC, community pages, and partner organisations. Users can search by date, location, event type, and language, eliminating the need to browse multiple sites.
Personalised Recommendations – Uses user preferences and past searches to suggest relevant upcoming events, improving discovery and conversion.
“Random Fun Fact” Feature – Delivers bite-sized cultural trivia or heritage insights from a verified database, subtly improving users’ cultural literacy over time.</t>
  </si>
  <si>
    <t>https://mrtwhichdoor.com
[Note: Pls dun try too much else I will get billed by GCP, as I'm tapping on Google Maps Route API with 1st 5k calls per month free]</t>
  </si>
  <si>
    <t>https://botanicare.online/
(Please create an account, and link to your Telegram account if you wish to test the bot out :))</t>
  </si>
  <si>
    <t>thattimewesg.com
Note: An account is needed to log in and use the app features. You may sign up, or drop me a message on Slack and I'll give you my login details so you don't have to create an account. Thanks!</t>
  </si>
  <si>
    <t>https://sgretireready.com
Click on "Continue as Guest" to access the application without signing in.
You could also sign up for an account (no email confirmation is required), then sign in using the account you just created.</t>
  </si>
  <si>
    <t>mymakanmap.com
user: techup5@gmail.com
pw: techup5</t>
  </si>
  <si>
    <t>https://casesync.lovable.app
User accounts:
Teacher:
teacher@moe.sg
Discipline Master:
dm@moe.sg
Counsellor:
sc@moe.sg
Special Needs Officer:
sen@moe.sg
All passwords - 12345</t>
  </si>
  <si>
    <t xml:space="preserve">https://fit5.lovable.app/
fit5sg.com </t>
  </si>
  <si>
    <t>SubTrackLah!
Dummy/Test Account:
Email: chiacharmjac@gmail.com
Pw: 123456</t>
  </si>
  <si>
    <t xml:space="preserve">https://weekend-playbook.com/
Note: Schedule can only be sent to my email address. If you click on the Email Schedule button and enter your email address, it will say schedule sent but you will not receive it. </t>
  </si>
  <si>
    <t xml:space="preserve">https://tuneyourvoice.me </t>
  </si>
  <si>
    <t xml:space="preserve">Harmonix: Interactive Vocal Training App 
Harmonix is a web-based singing training application that helps users develop their pitch accuracy and harmony skills through interactive exercises. The app uses your device's microphone to listen to your singing in real-time and provides instant feedback on your performance.
How it works:
1.        Onboarding: When you first use the app, you select your voice type (male or female) so the exercises are calibrated to a comfortable pitch range for you. The app then tests your microphone to ensure it can hear you properly.
2.        Progressive Learning Path: The app has three levels that gradually increase in difficulty:
•        Level 0: Pitch matching basics - You sing simple sustained notes to develop pitch accuracy
•        Level 1: Melody singing - You learn to sing familiar melodies note-by-note
•        Level 2: Harmony training - You sing harmony notes (like major and minor thirds) while the app plays a reference melody
3.        Real-time Feedback: As you sing, the app analyzes your voice using pitch detection technology and shows:
•        Visual feedback on whether you're hitting the right notes
•        Your pitch compared to the target pitch (with visual bars and graphs)
•        Helpful hints and encouragement from an animated mascot character
•        Progress tracking showing your accuracy scores
4.        Adaptive Difficulty: You need to achieve certain scores to unlock higher levels. The app tracks your best performances and lets you retry exercises to improve.
</t>
  </si>
  <si>
    <t xml:space="preserve">See Lah! </t>
  </si>
  <si>
    <t xml:space="preserve">Next Chapter is a web application that connects retired PMETs with volunteer opportunities that match their interests, skills and availability, helping them rediscover purpose while making a meaningful impact in the community after leaving the workforce. The application allows users to sign up for volunteering opportunities, invite friends to join in the volunteering events and share their experiences to inspire others. Community agencies can also participate through a dedicated portal where they post opportunities and manage volunteer sign-ups. 
</t>
  </si>
  <si>
    <t xml:space="preserve">CoatShare connects occasional winter travellers in Singapore with coats they can borrow, rent or buy second-hand from the community.  The app recommends suitable coats based on destination and travel dates, allows side-by-side comparisons, and lets users set alerts for their desired coats – making it easy to stay warm with the cost or clutter of owning rarely-used winter wear.  The app thus provides a platform that nudges behavioural change towards sustainability, making it simple to choose sharing over buying. 
Key Features: 
•        Personalised Recommendations – Get coat suggestions tailored to your destination, travel dates and preferences. 
•        Availability Alerts – Set alerts when no coats match your needs. 
•        Easy List – List your idle coats to share with fellow travellers
•        Community Stories – Connect with other travellers and contribute towards the movement for thoughtful travel and reducing textile waste.  
Authentication is needed to share or buy coats via the app. </t>
  </si>
  <si>
    <t xml:space="preserve">https://techup5-odyssey.com/
Pwd for demo accounts: techup5
Pls feel free to apply online for "Account Creation" (as a Requestor from any Business Line)
</t>
  </si>
  <si>
    <t>Odyssey streamlines IMDA’s content workflows by centralising briefs, edits, approvals and version tracking into one clear process for the Communications and Marketing team and all Business Lines. It replaces lengthy email back-and-forth among all parties with clear stages, defined roles, and automated reminders that speed up collaboration and reduce rework. Online annotation on webpage and social post previews makes feedback simpler, and the built-in AI assistant suggests draft captions and web articles in IMDA’s tone and social personas, giving every team member a consistent base to build from.
Feature summary (no login):
https://techup5-odyssey.com/feature-summary
Bedtime story (no login):
https://techup5-odyssey.com/user-manual</t>
  </si>
  <si>
    <t>https://comush.com
There are 4 teams and 2 user roles. Test accounts:
NTC team, regular user/requestor
ruiqi.mci+ntc@gmail.com
UserPW012345
SGTT team, regular user/requestor
ruiqi.mci+sgtt@gmail.com
UserPW012345
CT team, regular user/requestor
ruiqi.mci+requestor@gmail.com
RequestorPW012345
SGTT team, approver
ruiqi.mci+approver@gmail.com
ApproverPW012345</t>
  </si>
  <si>
    <t xml:space="preserve">https://chatea.lovable.app/ --&gt; sign in to access tea recommendations based on flavor profile quiz
https://chatea.lovable.app/profile/aniewial
[need to figure out a custom domain brb; pls use these links first] </t>
  </si>
  <si>
    <t>Causes (Social, Environment, Sustainability)</t>
  </si>
  <si>
    <t>Education and Family</t>
  </si>
  <si>
    <t>Everyday Life</t>
  </si>
  <si>
    <t>Health (Mental, Physical, Financial)</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</si>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</sst>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5">
    <font>
      <sz val="10"/>
      <color rgb="FF000000"/>
      <name val="Arial"/>
      <scheme val="minor"/>
    </font>
    <font>
      <b/>
      <sz val="10"/>
      <color rgb="FFFFFFFF"/>
      <name val="Arial"/>
      <scheme val="minor"/>
    </font>
    <font>
      <sz val="10"/>
      <color rgb="FFFFFFFF"/>
      <name val="Arial"/>
      <scheme val="minor"/>
    </font>
    <font>
      <b/>
      <sz val="10"/>
      <color rgb="FFFFFFFF"/>
      <name val="Arial"/>
    </font>
    <font>
      <sz val="10"/>
      <name val="Arial"/>
    </font>
    <font>
      <sz val="10"/>
      <color theme="1"/>
      <name val="Arial"/>
      <scheme val="minor"/>
    </font>
    <font>
      <sz val="10"/>
      <color theme="1"/>
      <name val="Arial"/>
    </font>
    <font>
      <i/>
      <sz val="10"/>
      <color theme="1"/>
      <name val="Arial"/>
    </font>
    <font>
      <u/>
      <sz val="10"/>
      <color rgb="FF0000FF"/>
      <name val="Arial"/>
    </font>
    <font>
      <sz val="10"/>
      <color theme="1"/>
      <name val="Arial"/>
    </font>
    <font>
      <u/>
      <sz val="10"/>
      <color rgb="FF0000FF"/>
      <name val="Arial"/>
    </font>
    <font>
      <sz val="10"/>
      <color rgb="FF000000"/>
      <name val="Arial"/>
    </font>
    <font>
      <u/>
      <sz val="10"/>
      <color rgb="FF0000FF"/>
      <name val="Arial"/>
    </font>
    <font>
      <sz val="10"/>
      <color theme="1"/>
      <name val="Arial"/>
      <scheme val="minor"/>
    </font>
    <font>
      <b/>
      <sz val="10"/>
      <color theme="1"/>
      <name val="Arial"/>
      <scheme val="minor"/>
    </font>
    <font>
      <sz val="10"/>
      <color rgb="FF0000FF"/>
      <name val="Arial"/>
    </font>
    <font>
      <sz val="11"/>
      <color theme="1"/>
      <name val="Arial"/>
      <scheme val="minor"/>
    </font>
    <font>
      <sz val="10"/>
      <color rgb="FF000000"/>
      <name val="Arial"/>
    </font>
    <font>
      <u/>
      <sz val="10"/>
      <color rgb="FF0000FF"/>
      <name val="Arial"/>
    </font>
    <font>
      <sz val="11"/>
      <color theme="1"/>
      <name val="Arial"/>
    </font>
    <font>
      <sz val="10"/>
      <color rgb="FF222222"/>
      <name val="Arial"/>
    </font>
    <font>
      <sz val="11"/>
      <color theme="1"/>
      <name val="Calibri"/>
    </font>
    <font>
      <sz val="10"/>
      <color rgb="FF222222"/>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sz val="10"/>
      <color rgb="FF000000"/>
      <name val="Arial"/>
      <scheme val="minor"/>
    </font>
    <font>
      <u/>
      <sz val="10"/>
      <color rgb="FF0000FF"/>
      <name val="Arial"/>
    </font>
    <font>
      <b/>
      <sz val="12"/>
      <color theme="1"/>
      <name val="Arial"/>
      <scheme val="minor"/>
    </font>
    <font>
      <b/>
      <sz val="10"/>
      <color rgb="FFFFFFFF"/>
      <name val="Arial"/>
    </font>
    <font>
      <u/>
      <sz val="10"/>
      <color rgb="FF1155CC"/>
      <name val="Arial"/>
      <scheme val="minor"/>
    </font>
    <font>
      <u/>
      <sz val="11"/>
      <color rgb="FF0000FF"/>
      <name val="Arial"/>
    </font>
    <font>
      <sz val="10"/>
      <color theme="1"/>
      <name val="Aptos"/>
    </font>
    <font>
      <b/>
      <sz val="10"/>
      <color rgb="FFFFFFFF"/>
      <name val="Arial"/>
      <scheme val="minor"/>
    </font>
    <font>
      <sz val="10"/>
      <color theme="1"/>
      <name val="'UICTFontTextStyleBody'"/>
    </font>
    <font>
      <sz val="9"/>
      <color rgb="FF000000"/>
      <name val="Arial"/>
    </font>
    <font>
      <u/>
      <sz val="10"/>
      <color rgb="FF0000FF"/>
      <name val="Arial"/>
    </font>
    <font>
      <sz val="11"/>
      <color rgb="FF222222"/>
      <name val="Arial"/>
    </font>
    <font>
      <u/>
      <sz val="10"/>
      <color rgb="FF0000FF"/>
      <name val="Arial"/>
    </font>
    <font>
      <b/>
      <sz val="10"/>
      <color theme="1"/>
      <name val="Arial"/>
    </font>
    <font>
      <b/>
      <sz val="10"/>
      <name val="Arial"/>
    </font>
    <font>
      <b/>
      <u/>
      <sz val="10"/>
      <color theme="1"/>
      <name val="Arial"/>
    </font>
    <font>
      <i/>
      <sz val="10"/>
      <name val="Arial"/>
    </font>
    <font>
      <u/>
      <sz val="10"/>
      <name val="Arial"/>
    </font>
    <font>
      <b/>
      <i/>
      <sz val="10"/>
      <color theme="1"/>
      <name val="Arial"/>
    </font>
    <font>
      <u/>
      <sz val="10"/>
      <color theme="1"/>
      <name val="Arial"/>
    </font>
    <font>
      <sz val="10"/>
      <color theme="4"/>
      <name val="Arial"/>
    </font>
    <font>
      <b/>
      <sz val="10"/>
      <color rgb="FF0000FF"/>
      <name val="Arial"/>
    </font>
    <font>
      <b/>
      <sz val="11"/>
      <name val="Arial"/>
    </font>
    <font>
      <sz val="11"/>
      <name val="Arial"/>
    </font>
    <font>
      <u/>
      <sz val="11"/>
      <color rgb="FF1155CC"/>
      <name val="Arial"/>
    </font>
    <font>
      <b/>
      <sz val="11"/>
      <color rgb="FF674EA7"/>
      <name val="Arial"/>
    </font>
    <font>
      <i/>
      <sz val="11"/>
      <color rgb="FF674EA7"/>
      <name val="Arial"/>
    </font>
    <font>
      <i/>
      <sz val="11"/>
      <name val="Arial"/>
    </font>
    <font>
      <b/>
      <sz val="11"/>
      <color rgb="FFA64D79"/>
      <name val="Arial"/>
    </font>
    <font>
      <b/>
      <u/>
      <sz val="11"/>
      <color rgb="FF1155CC"/>
      <name val="Arial"/>
    </font>
    <font>
      <b/>
      <sz val="10"/>
      <color rgb="FFA64D79"/>
      <name val="Arial"/>
    </font>
    <font>
      <sz val="10"/>
      <color rgb="FFA64D79"/>
      <name val="Arial"/>
    </font>
    <font>
      <b/>
      <sz val="10"/>
      <color rgb="FF674EA7"/>
      <name val="Arial"/>
    </font>
    <font>
      <u/>
      <sz val="10"/>
      <color rgb="FF674EA7"/>
      <name val="Arial"/>
    </font>
    <font>
      <sz val="10"/>
      <color rgb="FF674EA7"/>
      <name val="Arial"/>
    </font>
    <font>
      <b/>
      <i/>
      <sz val="10"/>
      <color rgb="FF674EA7"/>
      <name val="Arial"/>
    </font>
    <font>
      <b/>
      <i/>
      <sz val="10"/>
      <name val="Arial"/>
    </font>
    <font>
      <b/>
      <u/>
      <sz val="10"/>
      <color rgb="FF674EA7"/>
      <name val="Arial"/>
    </font>
    <font>
      <sz val="10"/>
      <color rgb="FF999999"/>
      <name val="Arial"/>
    </font>
    <font>
      <strike/>
      <sz val="10"/>
      <color rgb="FF0000FF"/>
      <name val="Arial"/>
    </font>
    <font>
      <sz val="10"/>
      <color rgb="FFB45F06"/>
      <name val="Arial"/>
    </font>
    <font>
      <i/>
      <sz val="10"/>
      <color rgb="FF6D9EEB"/>
      <name val="Arial"/>
    </font>
    <font>
      <b/>
      <sz val="10"/>
      <color theme="4"/>
      <name val="Arial"/>
    </font>
    <font>
      <sz val="11"/>
      <color rgb="FFA64D79"/>
      <name val="Arial"/>
    </font>
    <font>
      <u/>
      <sz val="11"/>
      <color rgb="FF674EA7"/>
      <name val="Arial"/>
    </font>
    <font>
      <b/>
      <strike/>
      <u/>
      <sz val="10"/>
      <color theme="1"/>
      <name val="Arial"/>
    </font>
    <font>
      <strike/>
      <sz val="10"/>
      <color theme="1"/>
      <name val="Arial"/>
    </font>
    <font>
      <strike/>
      <sz val="11"/>
      <color theme="1"/>
      <name val="Calibri"/>
    </font>
    <font>
      <b/>
      <sz val="11"/>
      <color theme="1"/>
      <name val="Calibri"/>
    </font>
    <font>
      <b/>
      <sz val="10"/>
      <color rgb="FF999999"/>
      <name val="Arial"/>
    </font>
    <font>
      <b/>
      <u/>
      <sz val="10"/>
      <color rgb="FF1155CC"/>
      <name val="Arial"/>
    </font>
    <font>
      <u/>
      <sz val="10"/>
      <color rgb="FF000000"/>
      <name val="Arial"/>
    </font>
    <font>
      <sz val="10"/>
      <color rgb="FF4285F4"/>
      <name val="Arial"/>
    </font>
    <font>
      <b/>
      <sz val="10"/>
      <color rgb="FF741B47"/>
      <name val="Arial"/>
    </font>
    <font>
      <b/>
      <sz val="11"/>
      <color theme="1"/>
      <name val="Arial"/>
    </font>
    <font>
      <b/>
      <sz val="12"/>
      <color theme="1"/>
      <name val="Arial"/>
    </font>
    <font>
      <sz val="10"/>
      <color rgb="FF000000"/>
      <name val="Arial"/>
      <family val="2"/>
      <scheme val="minor"/>
    </font>
  </fonts>
  <fills count="13">
    <fill>
      <patternFill patternType="none"/>
    </fill>
    <fill>
      <patternFill patternType="gray125"/>
    </fill>
    <fill>
      <patternFill patternType="solid">
        <fgColor rgb="FF000000"/>
        <bgColor rgb="FF000000"/>
      </patternFill>
    </fill>
    <fill>
      <patternFill patternType="solid">
        <fgColor rgb="FF073763"/>
        <bgColor rgb="FF073763"/>
      </patternFill>
    </fill>
    <fill>
      <patternFill patternType="solid">
        <fgColor rgb="FF274E13"/>
        <bgColor rgb="FF274E13"/>
      </patternFill>
    </fill>
    <fill>
      <patternFill patternType="solid">
        <fgColor rgb="FFA61C00"/>
        <bgColor rgb="FFA61C00"/>
      </patternFill>
    </fill>
    <fill>
      <patternFill patternType="solid">
        <fgColor rgb="FFEA4335"/>
        <bgColor rgb="FFEA4335"/>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CFE2F3"/>
        <bgColor rgb="FFCFE2F3"/>
      </patternFill>
    </fill>
    <fill>
      <patternFill patternType="solid">
        <fgColor rgb="FFBF9000"/>
        <bgColor rgb="FFBF9000"/>
      </patternFill>
    </fill>
    <fill>
      <patternFill patternType="solid">
        <fgColor theme="5"/>
        <bgColor theme="5"/>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58">
    <xf numFmtId="0" fontId="0" fillId="0" borderId="0" xfId="0"/>
    <xf numFmtId="0" fontId="2" fillId="4" borderId="0" xfId="0" applyFont="1" applyFill="1" applyAlignment="1">
      <alignment horizontal="center" vertical="top" wrapText="1"/>
    </xf>
    <xf numFmtId="0" fontId="1" fillId="2" borderId="6" xfId="0" applyFont="1" applyFill="1" applyBorder="1" applyAlignment="1">
      <alignment horizontal="center" vertical="top" wrapText="1"/>
    </xf>
    <xf numFmtId="0" fontId="1" fillId="3" borderId="6" xfId="0" applyFont="1" applyFill="1" applyBorder="1" applyAlignment="1">
      <alignment horizontal="center" vertical="top" wrapText="1"/>
    </xf>
    <xf numFmtId="0" fontId="3" fillId="3" borderId="6" xfId="0" applyFont="1" applyFill="1" applyBorder="1" applyAlignment="1">
      <alignment horizontal="center" vertical="top" wrapText="1"/>
    </xf>
    <xf numFmtId="0" fontId="3" fillId="3" borderId="3" xfId="0" applyFont="1" applyFill="1" applyBorder="1" applyAlignment="1">
      <alignment horizontal="center" vertical="top" wrapText="1"/>
    </xf>
    <xf numFmtId="0" fontId="5" fillId="7" borderId="6" xfId="0" applyFont="1" applyFill="1" applyBorder="1" applyAlignment="1">
      <alignment horizontal="center" vertical="top" wrapText="1"/>
    </xf>
    <xf numFmtId="0" fontId="6" fillId="7" borderId="6" xfId="0" applyFont="1" applyFill="1" applyBorder="1" applyAlignment="1">
      <alignment horizontal="center" vertical="top" wrapText="1"/>
    </xf>
    <xf numFmtId="0" fontId="7" fillId="7" borderId="7" xfId="0" applyFont="1" applyFill="1" applyBorder="1" applyAlignment="1">
      <alignment vertical="top"/>
    </xf>
    <xf numFmtId="0" fontId="7" fillId="7" borderId="7" xfId="0" applyFont="1" applyFill="1" applyBorder="1" applyAlignment="1">
      <alignment vertical="top" wrapText="1"/>
    </xf>
    <xf numFmtId="0" fontId="7" fillId="7" borderId="8" xfId="0" applyFont="1" applyFill="1" applyBorder="1" applyAlignment="1">
      <alignment vertical="top"/>
    </xf>
    <xf numFmtId="0" fontId="6" fillId="7" borderId="0" xfId="0" applyFont="1" applyFill="1" applyAlignment="1">
      <alignment vertical="top"/>
    </xf>
    <xf numFmtId="0" fontId="5" fillId="0" borderId="6" xfId="0" applyFont="1" applyBorder="1" applyAlignment="1">
      <alignment horizontal="center" vertical="top" wrapText="1"/>
    </xf>
    <xf numFmtId="0" fontId="6" fillId="0" borderId="6" xfId="0" applyFont="1" applyBorder="1" applyAlignment="1">
      <alignment horizontal="left" vertical="top" wrapText="1"/>
    </xf>
    <xf numFmtId="0" fontId="6" fillId="0" borderId="6" xfId="0" applyFont="1" applyBorder="1" applyAlignment="1">
      <alignment horizontal="center" vertical="top" wrapText="1"/>
    </xf>
    <xf numFmtId="0" fontId="5" fillId="0" borderId="6" xfId="0" applyFont="1" applyBorder="1" applyAlignment="1">
      <alignment vertical="top" wrapText="1"/>
    </xf>
    <xf numFmtId="0" fontId="5" fillId="0" borderId="0" xfId="0" applyFont="1" applyAlignment="1">
      <alignment vertical="top" wrapText="1"/>
    </xf>
    <xf numFmtId="0" fontId="5" fillId="0" borderId="6" xfId="0" applyFont="1" applyBorder="1" applyAlignment="1">
      <alignment horizontal="left" vertical="top" wrapText="1"/>
    </xf>
    <xf numFmtId="0" fontId="8" fillId="0" borderId="6" xfId="0" applyFont="1" applyBorder="1" applyAlignment="1">
      <alignment vertical="top" wrapText="1"/>
    </xf>
    <xf numFmtId="0" fontId="5" fillId="0" borderId="6" xfId="0" applyFont="1" applyBorder="1" applyAlignment="1">
      <alignment vertical="top"/>
    </xf>
    <xf numFmtId="0" fontId="6" fillId="0" borderId="8" xfId="0" applyFont="1" applyBorder="1" applyAlignment="1">
      <alignment vertical="top" wrapText="1"/>
    </xf>
    <xf numFmtId="0" fontId="6" fillId="0" borderId="8" xfId="0" applyFont="1" applyBorder="1" applyAlignment="1">
      <alignment vertical="top"/>
    </xf>
    <xf numFmtId="0" fontId="6" fillId="0" borderId="6" xfId="0" applyFont="1" applyBorder="1" applyAlignment="1">
      <alignment vertical="top"/>
    </xf>
    <xf numFmtId="0" fontId="6" fillId="0" borderId="0" xfId="0" applyFont="1" applyAlignment="1">
      <alignment vertical="top"/>
    </xf>
    <xf numFmtId="0" fontId="9" fillId="0" borderId="6" xfId="0" applyFont="1" applyBorder="1" applyAlignment="1">
      <alignment horizontal="left" vertical="top" wrapText="1"/>
    </xf>
    <xf numFmtId="0" fontId="6" fillId="8" borderId="6" xfId="0" applyFont="1" applyFill="1" applyBorder="1" applyAlignment="1">
      <alignment vertical="top" wrapText="1"/>
    </xf>
    <xf numFmtId="0" fontId="6" fillId="0" borderId="6" xfId="0" applyFont="1" applyBorder="1" applyAlignment="1">
      <alignment vertical="top" wrapText="1"/>
    </xf>
    <xf numFmtId="0" fontId="5" fillId="0" borderId="0" xfId="0" applyFont="1" applyAlignment="1">
      <alignment horizontal="left" vertical="top" wrapText="1"/>
    </xf>
    <xf numFmtId="0" fontId="6" fillId="0" borderId="0" xfId="0" applyFont="1" applyAlignment="1">
      <alignment vertical="top" wrapText="1"/>
    </xf>
    <xf numFmtId="0" fontId="10" fillId="0" borderId="6" xfId="0" applyFont="1" applyBorder="1" applyAlignment="1">
      <alignment vertical="top"/>
    </xf>
    <xf numFmtId="0" fontId="11" fillId="0" borderId="6" xfId="0" applyFont="1" applyBorder="1" applyAlignment="1">
      <alignment vertical="top"/>
    </xf>
    <xf numFmtId="0" fontId="9" fillId="0" borderId="6" xfId="0" applyFont="1" applyBorder="1" applyAlignment="1">
      <alignment horizontal="center" vertical="top" wrapText="1"/>
    </xf>
    <xf numFmtId="0" fontId="12" fillId="0" borderId="6" xfId="0" applyFont="1" applyBorder="1" applyAlignment="1">
      <alignment vertical="top" wrapText="1"/>
    </xf>
    <xf numFmtId="0" fontId="13" fillId="0" borderId="6" xfId="0" applyFont="1" applyBorder="1" applyAlignment="1">
      <alignment vertical="top" wrapText="1"/>
    </xf>
    <xf numFmtId="0" fontId="14" fillId="0" borderId="6" xfId="0" applyFont="1" applyBorder="1" applyAlignment="1">
      <alignment vertical="top" wrapText="1"/>
    </xf>
    <xf numFmtId="0" fontId="16" fillId="0" borderId="0" xfId="0" applyFont="1" applyAlignment="1">
      <alignment vertical="top" wrapText="1"/>
    </xf>
    <xf numFmtId="0" fontId="17" fillId="0" borderId="6" xfId="0" applyFont="1" applyBorder="1" applyAlignment="1">
      <alignment horizontal="left" vertical="top" wrapText="1"/>
    </xf>
    <xf numFmtId="0" fontId="11" fillId="0" borderId="6" xfId="0" applyFont="1" applyBorder="1" applyAlignment="1">
      <alignment vertical="top" wrapText="1"/>
    </xf>
    <xf numFmtId="0" fontId="5" fillId="0" borderId="6" xfId="0" applyFont="1" applyBorder="1" applyAlignment="1">
      <alignment horizontal="center" vertical="top"/>
    </xf>
    <xf numFmtId="0" fontId="13" fillId="0" borderId="0" xfId="0" applyFont="1" applyAlignment="1">
      <alignment vertical="top" wrapText="1"/>
    </xf>
    <xf numFmtId="0" fontId="18" fillId="0" borderId="6" xfId="0" applyFont="1" applyBorder="1" applyAlignment="1">
      <alignment vertical="top" wrapText="1"/>
    </xf>
    <xf numFmtId="0" fontId="19" fillId="0" borderId="6" xfId="0" applyFont="1" applyBorder="1" applyAlignment="1">
      <alignment vertical="top" wrapText="1"/>
    </xf>
    <xf numFmtId="0" fontId="16" fillId="0" borderId="6" xfId="0" applyFont="1" applyBorder="1" applyAlignment="1">
      <alignment vertical="top" wrapText="1"/>
    </xf>
    <xf numFmtId="0" fontId="20" fillId="0" borderId="6" xfId="0" applyFont="1" applyBorder="1" applyAlignment="1">
      <alignment horizontal="left" vertical="top" wrapText="1"/>
    </xf>
    <xf numFmtId="0" fontId="21" fillId="0" borderId="6" xfId="0" applyFont="1" applyBorder="1" applyAlignment="1">
      <alignment horizontal="left" vertical="top" wrapText="1"/>
    </xf>
    <xf numFmtId="0" fontId="17" fillId="8" borderId="6" xfId="0" applyFont="1" applyFill="1" applyBorder="1" applyAlignment="1">
      <alignment vertical="top" wrapText="1"/>
    </xf>
    <xf numFmtId="0" fontId="9" fillId="0" borderId="6" xfId="0" applyFont="1" applyBorder="1" applyAlignment="1">
      <alignment vertical="top" wrapText="1"/>
    </xf>
    <xf numFmtId="0" fontId="22" fillId="0" borderId="6" xfId="0" applyFont="1" applyBorder="1" applyAlignment="1">
      <alignment vertical="top" wrapText="1"/>
    </xf>
    <xf numFmtId="0" fontId="0" fillId="0" borderId="6" xfId="0" applyBorder="1" applyAlignment="1">
      <alignment vertical="top" wrapText="1"/>
    </xf>
    <xf numFmtId="0" fontId="23" fillId="0" borderId="6" xfId="0" applyFont="1" applyBorder="1" applyAlignment="1">
      <alignment vertical="top"/>
    </xf>
    <xf numFmtId="0" fontId="13" fillId="0" borderId="6" xfId="0" applyFont="1" applyBorder="1" applyAlignment="1">
      <alignment horizontal="left" vertical="top" wrapText="1"/>
    </xf>
    <xf numFmtId="0" fontId="24" fillId="0" borderId="6" xfId="0" applyFont="1" applyBorder="1" applyAlignment="1">
      <alignment horizontal="left" vertical="top" wrapText="1"/>
    </xf>
    <xf numFmtId="0" fontId="25" fillId="0" borderId="0" xfId="0" applyFont="1" applyAlignment="1">
      <alignment vertical="top" wrapText="1"/>
    </xf>
    <xf numFmtId="0" fontId="6" fillId="0" borderId="0" xfId="0" applyFont="1" applyAlignment="1">
      <alignment horizontal="center" vertical="top" wrapText="1"/>
    </xf>
    <xf numFmtId="0" fontId="11" fillId="8" borderId="6" xfId="0" applyFont="1" applyFill="1" applyBorder="1" applyAlignment="1">
      <alignment horizontal="left" vertical="top" wrapText="1"/>
    </xf>
    <xf numFmtId="0" fontId="9" fillId="8" borderId="6" xfId="0" applyFont="1" applyFill="1" applyBorder="1" applyAlignment="1">
      <alignment horizontal="center" vertical="top" wrapText="1"/>
    </xf>
    <xf numFmtId="0" fontId="26" fillId="0" borderId="6" xfId="0" applyFont="1" applyBorder="1" applyAlignment="1">
      <alignment horizontal="center" vertical="top" wrapText="1"/>
    </xf>
    <xf numFmtId="0" fontId="5" fillId="0" borderId="8" xfId="0" applyFont="1" applyBorder="1" applyAlignment="1">
      <alignment vertical="top" wrapText="1"/>
    </xf>
    <xf numFmtId="0" fontId="11" fillId="0" borderId="8" xfId="0" applyFont="1" applyBorder="1" applyAlignment="1">
      <alignment horizontal="left" vertical="top" wrapText="1"/>
    </xf>
    <xf numFmtId="0" fontId="5" fillId="0" borderId="6" xfId="0" applyFont="1" applyBorder="1" applyAlignment="1">
      <alignment horizontal="right" vertical="top" wrapText="1"/>
    </xf>
    <xf numFmtId="0" fontId="11" fillId="0" borderId="6" xfId="0" applyFont="1" applyBorder="1" applyAlignment="1">
      <alignment horizontal="left" vertical="top" wrapText="1"/>
    </xf>
    <xf numFmtId="0" fontId="27" fillId="0" borderId="6" xfId="0" applyFont="1" applyBorder="1" applyAlignment="1">
      <alignment vertical="top" wrapText="1"/>
    </xf>
    <xf numFmtId="0" fontId="28" fillId="0" borderId="6" xfId="0" applyFont="1" applyBorder="1" applyAlignment="1">
      <alignment vertical="top" wrapText="1"/>
    </xf>
    <xf numFmtId="0" fontId="0" fillId="8" borderId="6" xfId="0" applyFill="1" applyBorder="1" applyAlignment="1">
      <alignment horizontal="left" vertical="top" wrapText="1"/>
    </xf>
    <xf numFmtId="0" fontId="29" fillId="0" borderId="0" xfId="0" applyFont="1" applyAlignment="1">
      <alignment vertical="top" wrapText="1"/>
    </xf>
    <xf numFmtId="0" fontId="5" fillId="0" borderId="6" xfId="0" quotePrefix="1" applyFont="1" applyBorder="1" applyAlignment="1">
      <alignment vertical="top" wrapText="1"/>
    </xf>
    <xf numFmtId="0" fontId="6" fillId="0" borderId="7" xfId="0" applyFont="1" applyBorder="1" applyAlignment="1">
      <alignment vertical="top"/>
    </xf>
    <xf numFmtId="0" fontId="5" fillId="0" borderId="6" xfId="0" applyFont="1" applyBorder="1"/>
    <xf numFmtId="0" fontId="5" fillId="0" borderId="0" xfId="0" applyFont="1" applyAlignment="1">
      <alignment horizontal="center" vertical="top" wrapText="1"/>
    </xf>
    <xf numFmtId="0" fontId="30" fillId="0" borderId="0" xfId="0" applyFont="1" applyAlignment="1">
      <alignment horizontal="left"/>
    </xf>
    <xf numFmtId="0" fontId="5" fillId="0" borderId="0" xfId="0" applyFont="1" applyAlignment="1">
      <alignment horizontal="center"/>
    </xf>
    <xf numFmtId="0" fontId="2" fillId="3" borderId="6" xfId="0" applyFont="1" applyFill="1" applyBorder="1" applyAlignment="1">
      <alignment horizontal="center"/>
    </xf>
    <xf numFmtId="0" fontId="1" fillId="3" borderId="1" xfId="0" applyFont="1" applyFill="1" applyBorder="1" applyAlignment="1">
      <alignment horizontal="center"/>
    </xf>
    <xf numFmtId="0" fontId="1" fillId="3" borderId="0" xfId="0" applyFont="1" applyFill="1" applyAlignment="1">
      <alignment horizontal="center"/>
    </xf>
    <xf numFmtId="0" fontId="2" fillId="0" borderId="0" xfId="0" applyFont="1"/>
    <xf numFmtId="0" fontId="5" fillId="9" borderId="6" xfId="0" applyFont="1" applyFill="1" applyBorder="1" applyAlignment="1">
      <alignment horizontal="center"/>
    </xf>
    <xf numFmtId="0" fontId="14" fillId="9" borderId="6" xfId="0" applyFont="1" applyFill="1" applyBorder="1" applyAlignment="1">
      <alignment horizontal="center"/>
    </xf>
    <xf numFmtId="0" fontId="5" fillId="9" borderId="0" xfId="0" applyFont="1" applyFill="1" applyAlignment="1">
      <alignment horizontal="center"/>
    </xf>
    <xf numFmtId="0" fontId="5" fillId="0" borderId="6" xfId="0" applyFont="1" applyBorder="1" applyAlignment="1">
      <alignment horizontal="center"/>
    </xf>
    <xf numFmtId="0" fontId="14" fillId="0" borderId="6" xfId="0" applyFont="1" applyBorder="1"/>
    <xf numFmtId="0" fontId="5" fillId="8" borderId="0" xfId="0" applyFont="1" applyFill="1" applyAlignment="1">
      <alignment wrapText="1"/>
    </xf>
    <xf numFmtId="0" fontId="1" fillId="3" borderId="6" xfId="0" applyFon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5" fillId="10" borderId="6" xfId="0" applyFont="1" applyFill="1" applyBorder="1"/>
    <xf numFmtId="0" fontId="5" fillId="0" borderId="0" xfId="0" applyFont="1" applyAlignment="1">
      <alignment vertical="center"/>
    </xf>
    <xf numFmtId="0" fontId="31" fillId="2" borderId="6" xfId="0" applyFont="1" applyFill="1" applyBorder="1" applyAlignment="1">
      <alignment vertical="top" wrapText="1"/>
    </xf>
    <xf numFmtId="0" fontId="1" fillId="11" borderId="6" xfId="0" applyFont="1" applyFill="1" applyBorder="1" applyAlignment="1">
      <alignment horizontal="center" vertical="top" wrapText="1"/>
    </xf>
    <xf numFmtId="0" fontId="2" fillId="2" borderId="0" xfId="0" applyFont="1" applyFill="1" applyAlignment="1">
      <alignment vertical="top" wrapText="1"/>
    </xf>
    <xf numFmtId="0" fontId="1" fillId="2" borderId="6" xfId="0" applyFont="1" applyFill="1" applyBorder="1" applyAlignment="1">
      <alignment vertical="top" wrapText="1"/>
    </xf>
    <xf numFmtId="0" fontId="5" fillId="7" borderId="0" xfId="0" applyFont="1" applyFill="1" applyAlignment="1">
      <alignment horizontal="center" vertical="top" wrapText="1"/>
    </xf>
    <xf numFmtId="0" fontId="20" fillId="0" borderId="6" xfId="0" applyFont="1" applyBorder="1" applyAlignment="1">
      <alignment vertical="top" wrapText="1"/>
    </xf>
    <xf numFmtId="0" fontId="5" fillId="0" borderId="7" xfId="0" applyFont="1" applyBorder="1" applyAlignment="1">
      <alignment vertical="top" wrapText="1"/>
    </xf>
    <xf numFmtId="0" fontId="32" fillId="0" borderId="6" xfId="0" applyFont="1" applyBorder="1" applyAlignment="1">
      <alignment vertical="top" wrapText="1"/>
    </xf>
    <xf numFmtId="0" fontId="20" fillId="0" borderId="6" xfId="0" applyFont="1" applyBorder="1" applyAlignment="1">
      <alignment horizontal="center" vertical="top" wrapText="1"/>
    </xf>
    <xf numFmtId="0" fontId="33" fillId="0" borderId="6" xfId="0" applyFont="1" applyBorder="1" applyAlignment="1">
      <alignment vertical="top" wrapText="1"/>
    </xf>
    <xf numFmtId="0" fontId="21" fillId="0" borderId="0" xfId="0" applyFont="1" applyAlignment="1">
      <alignment vertical="top" wrapText="1"/>
    </xf>
    <xf numFmtId="0" fontId="21" fillId="0" borderId="6" xfId="0" applyFont="1" applyBorder="1" applyAlignment="1">
      <alignment vertical="top" wrapText="1"/>
    </xf>
    <xf numFmtId="0" fontId="34" fillId="0" borderId="6" xfId="0" applyFont="1" applyBorder="1" applyAlignment="1">
      <alignment vertical="top" wrapText="1"/>
    </xf>
    <xf numFmtId="0" fontId="19" fillId="0" borderId="0" xfId="0" applyFont="1" applyAlignment="1">
      <alignment vertical="top" wrapText="1"/>
    </xf>
    <xf numFmtId="0" fontId="35" fillId="2" borderId="0" xfId="0" applyFont="1" applyFill="1" applyAlignment="1">
      <alignment horizontal="center" vertical="center" wrapText="1"/>
    </xf>
    <xf numFmtId="0" fontId="31" fillId="2" borderId="0" xfId="0" applyFont="1" applyFill="1" applyAlignment="1">
      <alignment horizontal="left"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3" borderId="0" xfId="0" applyFont="1" applyFill="1" applyAlignment="1">
      <alignment horizontal="center" vertical="center" wrapText="1"/>
    </xf>
    <xf numFmtId="0" fontId="1" fillId="12" borderId="0" xfId="0" applyFont="1" applyFill="1" applyAlignment="1">
      <alignment vertical="center" wrapText="1"/>
    </xf>
    <xf numFmtId="0" fontId="3" fillId="4" borderId="0" xfId="0" applyFont="1" applyFill="1" applyAlignment="1">
      <alignment vertical="center" wrapText="1"/>
    </xf>
    <xf numFmtId="0" fontId="1" fillId="2" borderId="6" xfId="0" applyFont="1" applyFill="1" applyBorder="1" applyAlignment="1">
      <alignment horizontal="center" vertical="center" wrapText="1"/>
    </xf>
    <xf numFmtId="0" fontId="31" fillId="2" borderId="6" xfId="0" applyFont="1" applyFill="1" applyBorder="1" applyAlignment="1">
      <alignment horizontal="left" vertical="center" wrapText="1"/>
    </xf>
    <xf numFmtId="0" fontId="1" fillId="3" borderId="6"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5" borderId="7" xfId="0" applyFont="1" applyFill="1" applyBorder="1" applyAlignment="1">
      <alignment vertical="center" wrapText="1"/>
    </xf>
    <xf numFmtId="0" fontId="3" fillId="5" borderId="8" xfId="0" applyFont="1" applyFill="1" applyBorder="1" applyAlignment="1">
      <alignment vertical="center" wrapText="1"/>
    </xf>
    <xf numFmtId="0" fontId="3" fillId="6" borderId="8" xfId="0" applyFont="1" applyFill="1" applyBorder="1" applyAlignment="1">
      <alignment vertical="center" wrapText="1"/>
    </xf>
    <xf numFmtId="0" fontId="5" fillId="7" borderId="6" xfId="0" applyFont="1" applyFill="1" applyBorder="1" applyAlignment="1">
      <alignment horizontal="left" vertical="top" wrapText="1"/>
    </xf>
    <xf numFmtId="0" fontId="19" fillId="0" borderId="6" xfId="0" applyFont="1" applyBorder="1" applyAlignment="1">
      <alignment horizontal="left" vertical="top" wrapText="1"/>
    </xf>
    <xf numFmtId="0" fontId="31" fillId="2" borderId="0" xfId="0" applyFont="1" applyFill="1" applyAlignment="1">
      <alignment vertical="center" wrapText="1"/>
    </xf>
    <xf numFmtId="0" fontId="31" fillId="2" borderId="6" xfId="0" applyFont="1" applyFill="1" applyBorder="1" applyAlignment="1">
      <alignment vertical="center" wrapText="1"/>
    </xf>
    <xf numFmtId="0" fontId="36" fillId="0" borderId="0" xfId="0" applyFont="1" applyAlignment="1">
      <alignment horizontal="left" vertical="top" wrapText="1"/>
    </xf>
    <xf numFmtId="0" fontId="5" fillId="0" borderId="0" xfId="0" applyFont="1" applyAlignment="1">
      <alignment horizontal="left" vertical="top"/>
    </xf>
    <xf numFmtId="0" fontId="22" fillId="8" borderId="0" xfId="0" applyFont="1" applyFill="1" applyAlignment="1">
      <alignment vertical="top" wrapText="1"/>
    </xf>
    <xf numFmtId="0" fontId="15" fillId="0" borderId="6" xfId="0" applyFont="1" applyBorder="1" applyAlignment="1">
      <alignment vertical="top" wrapText="1"/>
    </xf>
    <xf numFmtId="0" fontId="22" fillId="8" borderId="6" xfId="0" applyFont="1" applyFill="1" applyBorder="1" applyAlignment="1">
      <alignment horizontal="left" vertical="top" wrapText="1"/>
    </xf>
    <xf numFmtId="0" fontId="11" fillId="8" borderId="0" xfId="0" applyFont="1" applyFill="1" applyAlignment="1">
      <alignment horizontal="left"/>
    </xf>
    <xf numFmtId="0" fontId="22" fillId="8" borderId="0" xfId="0" applyFont="1" applyFill="1"/>
    <xf numFmtId="0" fontId="37" fillId="0" borderId="6" xfId="0" applyFont="1" applyBorder="1" applyAlignment="1">
      <alignment vertical="top" wrapText="1"/>
    </xf>
    <xf numFmtId="0" fontId="38" fillId="0" borderId="6" xfId="0" applyFont="1" applyBorder="1" applyAlignment="1">
      <alignment vertical="top" wrapText="1"/>
    </xf>
    <xf numFmtId="0" fontId="37" fillId="0" borderId="0" xfId="0" applyFont="1" applyAlignment="1">
      <alignment horizontal="left" vertical="top" wrapText="1"/>
    </xf>
    <xf numFmtId="0" fontId="21" fillId="0" borderId="0" xfId="0" applyFont="1"/>
    <xf numFmtId="0" fontId="9" fillId="0" borderId="0" xfId="0" applyFont="1" applyAlignment="1">
      <alignment wrapText="1"/>
    </xf>
    <xf numFmtId="0" fontId="11" fillId="8" borderId="0" xfId="0" applyFont="1" applyFill="1" applyAlignment="1">
      <alignment horizontal="left" vertical="top" wrapText="1"/>
    </xf>
    <xf numFmtId="0" fontId="21" fillId="0" borderId="0" xfId="0" applyFont="1" applyAlignment="1">
      <alignment wrapText="1"/>
    </xf>
    <xf numFmtId="0" fontId="5" fillId="0" borderId="0" xfId="0" applyFont="1" applyAlignment="1">
      <alignment vertical="top"/>
    </xf>
    <xf numFmtId="0" fontId="39" fillId="0" borderId="6" xfId="0" applyFont="1" applyBorder="1" applyAlignment="1">
      <alignment vertical="top" wrapText="1"/>
    </xf>
    <xf numFmtId="0" fontId="11" fillId="0" borderId="3" xfId="0" applyFont="1" applyBorder="1" applyAlignment="1">
      <alignment vertical="top" wrapText="1"/>
    </xf>
    <xf numFmtId="0" fontId="40" fillId="0" borderId="6" xfId="0" applyFont="1" applyBorder="1" applyAlignment="1">
      <alignment horizontal="left" vertical="top" wrapText="1"/>
    </xf>
    <xf numFmtId="0" fontId="16" fillId="0" borderId="6" xfId="0" applyFont="1" applyBorder="1" applyAlignment="1">
      <alignment horizontal="left" vertical="top" wrapText="1"/>
    </xf>
    <xf numFmtId="0" fontId="5" fillId="0" borderId="6" xfId="0" applyFont="1" applyBorder="1" applyAlignment="1">
      <alignment horizontal="left" wrapText="1"/>
    </xf>
    <xf numFmtId="0" fontId="4" fillId="0" borderId="2" xfId="0" applyFont="1" applyBorder="1"/>
    <xf numFmtId="0" fontId="4" fillId="0" borderId="3" xfId="0" applyFont="1" applyBorder="1"/>
    <xf numFmtId="0" fontId="4" fillId="0" borderId="8" xfId="0" applyFont="1" applyBorder="1"/>
    <xf numFmtId="0" fontId="4" fillId="0" borderId="7" xfId="0" applyFont="1" applyBorder="1"/>
    <xf numFmtId="0" fontId="1" fillId="3" borderId="1" xfId="0" applyFont="1" applyFill="1" applyBorder="1" applyAlignment="1">
      <alignment horizontal="center"/>
    </xf>
    <xf numFmtId="0" fontId="5" fillId="9" borderId="5" xfId="0" applyFont="1" applyFill="1" applyBorder="1" applyAlignment="1">
      <alignment vertical="center" wrapText="1"/>
    </xf>
    <xf numFmtId="0" fontId="5" fillId="0" borderId="5" xfId="0" applyFont="1" applyBorder="1" applyAlignment="1">
      <alignment horizontal="center" vertical="center"/>
    </xf>
    <xf numFmtId="0" fontId="5" fillId="9" borderId="5" xfId="0" applyFont="1" applyFill="1" applyBorder="1" applyAlignment="1">
      <alignment wrapText="1"/>
    </xf>
    <xf numFmtId="0" fontId="5" fillId="9" borderId="5" xfId="0" applyFont="1" applyFill="1" applyBorder="1" applyAlignment="1">
      <alignment vertical="center"/>
    </xf>
    <xf numFmtId="0" fontId="3" fillId="5"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4" borderId="4" xfId="0" applyFont="1" applyFill="1" applyBorder="1" applyAlignment="1">
      <alignment vertical="center" wrapText="1"/>
    </xf>
    <xf numFmtId="0" fontId="6" fillId="0" borderId="0" xfId="0" applyFont="1" applyBorder="1" applyAlignment="1">
      <alignment horizontal="center" vertical="top" wrapText="1"/>
    </xf>
    <xf numFmtId="0" fontId="5" fillId="0" borderId="0" xfId="0" applyFont="1" applyBorder="1" applyAlignment="1">
      <alignment vertical="top" wrapText="1"/>
    </xf>
    <xf numFmtId="0" fontId="16" fillId="0" borderId="0" xfId="0" applyFont="1" applyBorder="1" applyAlignment="1">
      <alignment vertical="top" wrapText="1"/>
    </xf>
    <xf numFmtId="0" fontId="0" fillId="0" borderId="0" xfId="0" applyAlignment="1">
      <alignment wrapText="1"/>
    </xf>
    <xf numFmtId="0" fontId="84" fillId="0" borderId="0" xfId="0" applyFont="1"/>
  </cellXfs>
  <cellStyles count="1">
    <cellStyle name="Normal" xfId="0" builtinId="0"/>
  </cellStyles>
  <dxfs count="5">
    <dxf>
      <fill>
        <patternFill patternType="solid">
          <fgColor rgb="FFB7E1CD"/>
          <bgColor rgb="FFB7E1CD"/>
        </patternFill>
      </fill>
    </dxf>
    <dxf>
      <fill>
        <patternFill patternType="solid">
          <fgColor rgb="FFB7E1CD"/>
          <bgColor rgb="FFB7E1CD"/>
        </patternFill>
      </fill>
    </dxf>
    <dxf>
      <alignment horizontal="general" vertical="bottom" textRotation="0" wrapText="1" indent="0" justifyLastLine="0" shrinkToFit="0" readingOrder="0"/>
    </dxf>
    <dxf>
      <fill>
        <patternFill patternType="solid">
          <fgColor rgb="FFFFFFFF"/>
          <bgColor rgb="FFFFFFFF"/>
        </patternFill>
      </fill>
    </dxf>
    <dxf>
      <fill>
        <patternFill patternType="solid">
          <fgColor rgb="FFF3F3F3"/>
          <bgColor rgb="FFF3F3F3"/>
        </patternFill>
      </fill>
    </dxf>
  </dxfs>
  <tableStyles count="2">
    <tableStyle name="Participant Submissions-style" pivot="0" count="2" xr9:uid="{00000000-0011-0000-FFFF-FFFF00000000}">
      <tableStyleElement type="firstRowStripe" dxfId="4"/>
      <tableStyleElement type="secondRowStripe" dxfId="3"/>
    </tableStyle>
    <tableStyle name="Table Style 1" pivot="0" count="0" xr9:uid="{5DB41C38-48F6-4951-A803-CA8FE13E88A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333375</xdr:colOff>
      <xdr:row>18</xdr:row>
      <xdr:rowOff>361950</xdr:rowOff>
    </xdr:from>
    <xdr:ext cx="1343025" cy="13239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333375</xdr:colOff>
      <xdr:row>18</xdr:row>
      <xdr:rowOff>361950</xdr:rowOff>
    </xdr:from>
    <xdr:ext cx="1343025" cy="1323975"/>
    <xdr:pic>
      <xdr:nvPicPr>
        <xdr:cNvPr id="3" name="image1.png" title="Image">
          <a:extLst>
            <a:ext uri="{FF2B5EF4-FFF2-40B4-BE49-F238E27FC236}">
              <a16:creationId xmlns:a16="http://schemas.microsoft.com/office/drawing/2014/main" id="{FDE767DF-A05D-4218-85AC-30C435D41BA1}"/>
            </a:ext>
          </a:extLst>
        </xdr:cNvPr>
        <xdr:cNvPicPr preferRelativeResize="0"/>
      </xdr:nvPicPr>
      <xdr:blipFill>
        <a:blip xmlns:r="http://schemas.openxmlformats.org/officeDocument/2006/relationships" r:embed="rId1" cstate="print"/>
        <a:stretch>
          <a:fillRect/>
        </a:stretch>
      </xdr:blipFill>
      <xdr:spPr>
        <a:xfrm>
          <a:off x="3663315" y="46988730"/>
          <a:ext cx="1343025" cy="13239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17:C19" headerRowCount="0">
  <tableColumns count="1">
    <tableColumn id="9" xr3:uid="{00000000-0010-0000-0000-000009000000}" name="Column9"/>
  </tableColumns>
  <tableStyleInfo name="Participant Submission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894DC3-C257-4CCB-AF13-2A945E260EA0}" name="Table_14" displayName="Table_14" ref="C17:C19" headerRowCount="0">
  <tableColumns count="1">
    <tableColumn id="9" xr3:uid="{EDDABE65-4DF8-4509-B781-2BE023358E35}" name="Column9"/>
  </tableColumns>
  <tableStyleInfo name="Participant Submission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2E9A4F-6C45-4B1C-BF38-27464F91C475}" name="Table5" displayName="Table5" ref="A1:F50" totalsRowShown="0">
  <autoFilter ref="A1:F50" xr:uid="{E42E9A4F-6C45-4B1C-BF38-27464F91C475}"/>
  <sortState xmlns:xlrd2="http://schemas.microsoft.com/office/spreadsheetml/2017/richdata2" ref="A2:E50">
    <sortCondition ref="A1:A50"/>
  </sortState>
  <tableColumns count="6">
    <tableColumn id="1" xr3:uid="{86B0FEB1-72F0-476B-ADC5-804F69D4F2E3}" name="No."/>
    <tableColumn id="2" xr3:uid="{F0938C70-6389-49D3-A184-84FBF63ED142}" name="Developer Name"/>
    <tableColumn id="3" xr3:uid="{4D6D52B1-F3E9-43E7-AC11-A37871E7E8CC}" name="App Name"/>
    <tableColumn id="4" xr3:uid="{46836C90-F3D4-4B61-96C6-4E1F849933A9}" name="Website"/>
    <tableColumn id="5" xr3:uid="{A7805F06-F830-4EE3-A82F-B6C7F85E9A32}" name="Description" dataDxfId="2"/>
    <tableColumn id="7" xr3:uid="{4FE647D2-B982-4544-8AA2-6091C148E15E}" name="Category"/>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nextchaptersg.lovable.app/" TargetMode="External"/><Relationship Id="rId18" Type="http://schemas.openxmlformats.org/officeDocument/2006/relationships/hyperlink" Target="https://sgcarhub.lovable.app/" TargetMode="External"/><Relationship Id="rId26" Type="http://schemas.openxmlformats.org/officeDocument/2006/relationships/hyperlink" Target="https://tuneyourvoice.me/" TargetMode="External"/><Relationship Id="rId39" Type="http://schemas.openxmlformats.org/officeDocument/2006/relationships/hyperlink" Target="https://thattimewesg.com/" TargetMode="External"/><Relationship Id="rId21" Type="http://schemas.openxmlformats.org/officeDocument/2006/relationships/hyperlink" Target="http://cleancompare.sg/" TargetMode="External"/><Relationship Id="rId34" Type="http://schemas.openxmlformats.org/officeDocument/2006/relationships/hyperlink" Target="https://fit5.lovable.app/" TargetMode="External"/><Relationship Id="rId42" Type="http://schemas.openxmlformats.org/officeDocument/2006/relationships/hyperlink" Target="https://aiforu.tech/" TargetMode="External"/><Relationship Id="rId47" Type="http://schemas.openxmlformats.org/officeDocument/2006/relationships/table" Target="../tables/table1.xml"/><Relationship Id="rId7" Type="http://schemas.openxmlformats.org/officeDocument/2006/relationships/hyperlink" Target="http://ksm.benjaminalexanderchua.com/" TargetMode="External"/><Relationship Id="rId2" Type="http://schemas.openxmlformats.org/officeDocument/2006/relationships/hyperlink" Target="https://chatea.lovable.app/" TargetMode="External"/><Relationship Id="rId16" Type="http://schemas.openxmlformats.org/officeDocument/2006/relationships/hyperlink" Target="https://intouchagain.com/" TargetMode="External"/><Relationship Id="rId29" Type="http://schemas.openxmlformats.org/officeDocument/2006/relationships/hyperlink" Target="https://weekend-playbook.com/" TargetMode="External"/><Relationship Id="rId1" Type="http://schemas.openxmlformats.org/officeDocument/2006/relationships/hyperlink" Target="https://raceradarsg.com/" TargetMode="External"/><Relationship Id="rId6" Type="http://schemas.openxmlformats.org/officeDocument/2006/relationships/hyperlink" Target="https://skillpathsg.lovable.app/" TargetMode="External"/><Relationship Id="rId11" Type="http://schemas.openxmlformats.org/officeDocument/2006/relationships/hyperlink" Target="https://setgo.app/" TargetMode="External"/><Relationship Id="rId24" Type="http://schemas.openxmlformats.org/officeDocument/2006/relationships/hyperlink" Target="https://lumina-sanctuary-sg.lovable.app/" TargetMode="External"/><Relationship Id="rId32" Type="http://schemas.openxmlformats.org/officeDocument/2006/relationships/hyperlink" Target="http://subtracklah.com/" TargetMode="External"/><Relationship Id="rId37" Type="http://schemas.openxmlformats.org/officeDocument/2006/relationships/hyperlink" Target="https://sgretireready.com/" TargetMode="External"/><Relationship Id="rId40" Type="http://schemas.openxmlformats.org/officeDocument/2006/relationships/hyperlink" Target="https://botanicare.online/" TargetMode="External"/><Relationship Id="rId45" Type="http://schemas.openxmlformats.org/officeDocument/2006/relationships/hyperlink" Target="http://culture.sg/" TargetMode="External"/><Relationship Id="rId5" Type="http://schemas.openxmlformats.org/officeDocument/2006/relationships/hyperlink" Target="https://techup5-odyssey.com/" TargetMode="External"/><Relationship Id="rId15" Type="http://schemas.openxmlformats.org/officeDocument/2006/relationships/hyperlink" Target="http://pantrypal-app.com/" TargetMode="External"/><Relationship Id="rId23" Type="http://schemas.openxmlformats.org/officeDocument/2006/relationships/hyperlink" Target="https://see-lah.lovable.app/" TargetMode="External"/><Relationship Id="rId28" Type="http://schemas.openxmlformats.org/officeDocument/2006/relationships/hyperlink" Target="https://sentiment-travel.com/" TargetMode="External"/><Relationship Id="rId36" Type="http://schemas.openxmlformats.org/officeDocument/2006/relationships/hyperlink" Target="http://mymakanmap.com/" TargetMode="External"/><Relationship Id="rId10" Type="http://schemas.openxmlformats.org/officeDocument/2006/relationships/hyperlink" Target="https://sgschoolfinder-pt.com/" TargetMode="External"/><Relationship Id="rId19" Type="http://schemas.openxmlformats.org/officeDocument/2006/relationships/hyperlink" Target="https://orbit-sg.lovable.app/" TargetMode="External"/><Relationship Id="rId31" Type="http://schemas.openxmlformats.org/officeDocument/2006/relationships/hyperlink" Target="https://sgsafehome.com/" TargetMode="External"/><Relationship Id="rId44" Type="http://schemas.openxmlformats.org/officeDocument/2006/relationships/hyperlink" Target="https://culturesg.info/" TargetMode="External"/><Relationship Id="rId4" Type="http://schemas.openxmlformats.org/officeDocument/2006/relationships/hyperlink" Target="https://techup5-odyssey.com/feature-summary" TargetMode="External"/><Relationship Id="rId9" Type="http://schemas.openxmlformats.org/officeDocument/2006/relationships/hyperlink" Target="https://elder-ease-sg.lovable.app/" TargetMode="External"/><Relationship Id="rId14" Type="http://schemas.openxmlformats.org/officeDocument/2006/relationships/hyperlink" Target="https://convoykaki.replit.app/" TargetMode="External"/><Relationship Id="rId22" Type="http://schemas.openxmlformats.org/officeDocument/2006/relationships/hyperlink" Target="https://cardlobang.lovable.app/" TargetMode="External"/><Relationship Id="rId27" Type="http://schemas.openxmlformats.org/officeDocument/2006/relationships/hyperlink" Target="http://dontwastefoodlah.com/" TargetMode="External"/><Relationship Id="rId30" Type="http://schemas.openxmlformats.org/officeDocument/2006/relationships/hyperlink" Target="https://www.life-swap.com/" TargetMode="External"/><Relationship Id="rId35" Type="http://schemas.openxmlformats.org/officeDocument/2006/relationships/hyperlink" Target="https://casesync.lovable.app/" TargetMode="External"/><Relationship Id="rId43" Type="http://schemas.openxmlformats.org/officeDocument/2006/relationships/hyperlink" Target="http://mrtwhichdoor.com/" TargetMode="External"/><Relationship Id="rId8" Type="http://schemas.openxmlformats.org/officeDocument/2006/relationships/hyperlink" Target="https://sg-my-taxis.lovable.app/" TargetMode="External"/><Relationship Id="rId3" Type="http://schemas.openxmlformats.org/officeDocument/2006/relationships/hyperlink" Target="https://comush.com/" TargetMode="External"/><Relationship Id="rId12" Type="http://schemas.openxmlformats.org/officeDocument/2006/relationships/hyperlink" Target="https://s-voice-cookbook.lovable.app/" TargetMode="External"/><Relationship Id="rId17" Type="http://schemas.openxmlformats.org/officeDocument/2006/relationships/hyperlink" Target="https://from-dusk-to-dawn.lovable.app/" TargetMode="External"/><Relationship Id="rId25" Type="http://schemas.openxmlformats.org/officeDocument/2006/relationships/hyperlink" Target="https://shopgiftsg.com/" TargetMode="External"/><Relationship Id="rId33" Type="http://schemas.openxmlformats.org/officeDocument/2006/relationships/hyperlink" Target="https://streamlite.lovable.app/" TargetMode="External"/><Relationship Id="rId38" Type="http://schemas.openxmlformats.org/officeDocument/2006/relationships/hyperlink" Target="https://lovable.dev/projects/bf1e2e04-f0e5-48fe-a672-e0004461d0be?magic_link=mc_966d10b8-c68f-4c83-9a8e-2aebdbe87c97" TargetMode="External"/><Relationship Id="rId46" Type="http://schemas.openxmlformats.org/officeDocument/2006/relationships/drawing" Target="../drawings/drawing1.xml"/><Relationship Id="rId20" Type="http://schemas.openxmlformats.org/officeDocument/2006/relationships/hyperlink" Target="https://cleancomparesg.lovable.app/" TargetMode="External"/><Relationship Id="rId41" Type="http://schemas.openxmlformats.org/officeDocument/2006/relationships/hyperlink" Target="https://aiforu.tech/"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nextchaptersg.lovable.app/" TargetMode="External"/><Relationship Id="rId18" Type="http://schemas.openxmlformats.org/officeDocument/2006/relationships/hyperlink" Target="https://sgcarhub.lovable.app/" TargetMode="External"/><Relationship Id="rId26" Type="http://schemas.openxmlformats.org/officeDocument/2006/relationships/hyperlink" Target="https://tuneyourvoice.me/" TargetMode="External"/><Relationship Id="rId39" Type="http://schemas.openxmlformats.org/officeDocument/2006/relationships/hyperlink" Target="https://thattimewesg.com/" TargetMode="External"/><Relationship Id="rId21" Type="http://schemas.openxmlformats.org/officeDocument/2006/relationships/hyperlink" Target="http://cleancompare.sg/" TargetMode="External"/><Relationship Id="rId34" Type="http://schemas.openxmlformats.org/officeDocument/2006/relationships/hyperlink" Target="https://fit5.lovable.app/" TargetMode="External"/><Relationship Id="rId42" Type="http://schemas.openxmlformats.org/officeDocument/2006/relationships/hyperlink" Target="https://aiforu.tech/" TargetMode="External"/><Relationship Id="rId47" Type="http://schemas.openxmlformats.org/officeDocument/2006/relationships/table" Target="../tables/table2.xml"/><Relationship Id="rId7" Type="http://schemas.openxmlformats.org/officeDocument/2006/relationships/hyperlink" Target="http://ksm.benjaminalexanderchua.com/" TargetMode="External"/><Relationship Id="rId2" Type="http://schemas.openxmlformats.org/officeDocument/2006/relationships/hyperlink" Target="https://chatea.lovable.app/" TargetMode="External"/><Relationship Id="rId16" Type="http://schemas.openxmlformats.org/officeDocument/2006/relationships/hyperlink" Target="https://intouchagain.com/" TargetMode="External"/><Relationship Id="rId29" Type="http://schemas.openxmlformats.org/officeDocument/2006/relationships/hyperlink" Target="https://weekend-playbook.com/" TargetMode="External"/><Relationship Id="rId1" Type="http://schemas.openxmlformats.org/officeDocument/2006/relationships/hyperlink" Target="https://raceradarsg.com/" TargetMode="External"/><Relationship Id="rId6" Type="http://schemas.openxmlformats.org/officeDocument/2006/relationships/hyperlink" Target="https://skillpathsg.lovable.app/" TargetMode="External"/><Relationship Id="rId11" Type="http://schemas.openxmlformats.org/officeDocument/2006/relationships/hyperlink" Target="https://setgo.app/" TargetMode="External"/><Relationship Id="rId24" Type="http://schemas.openxmlformats.org/officeDocument/2006/relationships/hyperlink" Target="https://lumina-sanctuary-sg.lovable.app/" TargetMode="External"/><Relationship Id="rId32" Type="http://schemas.openxmlformats.org/officeDocument/2006/relationships/hyperlink" Target="http://subtracklah.com/" TargetMode="External"/><Relationship Id="rId37" Type="http://schemas.openxmlformats.org/officeDocument/2006/relationships/hyperlink" Target="https://sgretireready.com/" TargetMode="External"/><Relationship Id="rId40" Type="http://schemas.openxmlformats.org/officeDocument/2006/relationships/hyperlink" Target="https://botanicare.online/" TargetMode="External"/><Relationship Id="rId45" Type="http://schemas.openxmlformats.org/officeDocument/2006/relationships/hyperlink" Target="http://culture.sg/" TargetMode="External"/><Relationship Id="rId5" Type="http://schemas.openxmlformats.org/officeDocument/2006/relationships/hyperlink" Target="https://techup5-odyssey.com/" TargetMode="External"/><Relationship Id="rId15" Type="http://schemas.openxmlformats.org/officeDocument/2006/relationships/hyperlink" Target="http://pantrypal-app.com/" TargetMode="External"/><Relationship Id="rId23" Type="http://schemas.openxmlformats.org/officeDocument/2006/relationships/hyperlink" Target="https://see-lah.lovable.app/" TargetMode="External"/><Relationship Id="rId28" Type="http://schemas.openxmlformats.org/officeDocument/2006/relationships/hyperlink" Target="https://sentiment-travel.com/" TargetMode="External"/><Relationship Id="rId36" Type="http://schemas.openxmlformats.org/officeDocument/2006/relationships/hyperlink" Target="http://mymakanmap.com/" TargetMode="External"/><Relationship Id="rId10" Type="http://schemas.openxmlformats.org/officeDocument/2006/relationships/hyperlink" Target="https://sgschoolfinder-pt.com/" TargetMode="External"/><Relationship Id="rId19" Type="http://schemas.openxmlformats.org/officeDocument/2006/relationships/hyperlink" Target="https://orbit-sg.lovable.app/" TargetMode="External"/><Relationship Id="rId31" Type="http://schemas.openxmlformats.org/officeDocument/2006/relationships/hyperlink" Target="https://sgsafehome.com/" TargetMode="External"/><Relationship Id="rId44" Type="http://schemas.openxmlformats.org/officeDocument/2006/relationships/hyperlink" Target="https://culturesg.info/" TargetMode="External"/><Relationship Id="rId4" Type="http://schemas.openxmlformats.org/officeDocument/2006/relationships/hyperlink" Target="https://techup5-odyssey.com/feature-summary" TargetMode="External"/><Relationship Id="rId9" Type="http://schemas.openxmlformats.org/officeDocument/2006/relationships/hyperlink" Target="https://elder-ease-sg.lovable.app/" TargetMode="External"/><Relationship Id="rId14" Type="http://schemas.openxmlformats.org/officeDocument/2006/relationships/hyperlink" Target="https://convoykaki.replit.app/" TargetMode="External"/><Relationship Id="rId22" Type="http://schemas.openxmlformats.org/officeDocument/2006/relationships/hyperlink" Target="https://cardlobang.lovable.app/" TargetMode="External"/><Relationship Id="rId27" Type="http://schemas.openxmlformats.org/officeDocument/2006/relationships/hyperlink" Target="http://dontwastefoodlah.com/" TargetMode="External"/><Relationship Id="rId30" Type="http://schemas.openxmlformats.org/officeDocument/2006/relationships/hyperlink" Target="https://www.life-swap.com/" TargetMode="External"/><Relationship Id="rId35" Type="http://schemas.openxmlformats.org/officeDocument/2006/relationships/hyperlink" Target="https://casesync.lovable.app/" TargetMode="External"/><Relationship Id="rId43" Type="http://schemas.openxmlformats.org/officeDocument/2006/relationships/hyperlink" Target="http://mrtwhichdoor.com/" TargetMode="External"/><Relationship Id="rId8" Type="http://schemas.openxmlformats.org/officeDocument/2006/relationships/hyperlink" Target="https://sg-my-taxis.lovable.app/" TargetMode="External"/><Relationship Id="rId3" Type="http://schemas.openxmlformats.org/officeDocument/2006/relationships/hyperlink" Target="https://comush.com/" TargetMode="External"/><Relationship Id="rId12" Type="http://schemas.openxmlformats.org/officeDocument/2006/relationships/hyperlink" Target="https://s-voice-cookbook.lovable.app/" TargetMode="External"/><Relationship Id="rId17" Type="http://schemas.openxmlformats.org/officeDocument/2006/relationships/hyperlink" Target="https://from-dusk-to-dawn.lovable.app/" TargetMode="External"/><Relationship Id="rId25" Type="http://schemas.openxmlformats.org/officeDocument/2006/relationships/hyperlink" Target="https://shopgiftsg.com/" TargetMode="External"/><Relationship Id="rId33" Type="http://schemas.openxmlformats.org/officeDocument/2006/relationships/hyperlink" Target="https://streamlite.lovable.app/" TargetMode="External"/><Relationship Id="rId38" Type="http://schemas.openxmlformats.org/officeDocument/2006/relationships/hyperlink" Target="https://lovable.dev/projects/bf1e2e04-f0e5-48fe-a672-e0004461d0be?magic_link=mc_966d10b8-c68f-4c83-9a8e-2aebdbe87c97" TargetMode="External"/><Relationship Id="rId46" Type="http://schemas.openxmlformats.org/officeDocument/2006/relationships/drawing" Target="../drawings/drawing2.xml"/><Relationship Id="rId20" Type="http://schemas.openxmlformats.org/officeDocument/2006/relationships/hyperlink" Target="https://cleancomparesg.lovable.app/" TargetMode="External"/><Relationship Id="rId41" Type="http://schemas.openxmlformats.org/officeDocument/2006/relationships/hyperlink" Target="https://aiforu.tech/"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top10.com/cocktail-apps" TargetMode="External"/><Relationship Id="rId2" Type="http://schemas.openxmlformats.org/officeDocument/2006/relationships/hyperlink" Target="https://www.mealboard.com/" TargetMode="External"/><Relationship Id="rId1" Type="http://schemas.openxmlformats.org/officeDocument/2006/relationships/hyperlink" Target="https://www.studiodojo.com/wp-content/uploads/2022/12/Reimagine_Mental-Wellbeing_Workplace_Report.pdf" TargetMode="External"/><Relationship Id="rId5" Type="http://schemas.openxmlformats.org/officeDocument/2006/relationships/hyperlink" Target="https://www.studiodojo.com/wp-content/uploads/2023/11/Fostering-Sustainability-in-Singapore-Full-Report.pdf" TargetMode="External"/><Relationship Id="rId4" Type="http://schemas.openxmlformats.org/officeDocument/2006/relationships/hyperlink" Target="https://www.fastcompany.com/91109843/listy-list-what-you-lik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fastcompany.com/91109843/listy-list-what-you-like" TargetMode="External"/><Relationship Id="rId2" Type="http://schemas.openxmlformats.org/officeDocument/2006/relationships/hyperlink" Target="https://www.top10.com/cocktail-apps" TargetMode="External"/><Relationship Id="rId1" Type="http://schemas.openxmlformats.org/officeDocument/2006/relationships/hyperlink" Target="https://www.mealboard.com/" TargetMode="External"/><Relationship Id="rId4" Type="http://schemas.openxmlformats.org/officeDocument/2006/relationships/hyperlink" Target="https://www.studiodojo.com/wp-content/uploads/2023/11/Fostering-Sustainability-in-Singapore-Full-Report.pdf"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studiodojo.com/wp-content/uploads/2022/12/Reimagine_Mental-Wellbeing_Workplace_Report.pdf" TargetMode="External"/><Relationship Id="rId18" Type="http://schemas.openxmlformats.org/officeDocument/2006/relationships/hyperlink" Target="https://b00zebuddy.com/" TargetMode="External"/><Relationship Id="rId26" Type="http://schemas.openxmlformats.org/officeDocument/2006/relationships/hyperlink" Target="http://parentgowhere.com/" TargetMode="External"/><Relationship Id="rId39" Type="http://schemas.openxmlformats.org/officeDocument/2006/relationships/hyperlink" Target="https://myhabitmylife123.work/" TargetMode="External"/><Relationship Id="rId21" Type="http://schemas.openxmlformats.org/officeDocument/2006/relationships/hyperlink" Target="https://www.studiodojo.com/wp-content/uploads/2023/11/Fostering-Sustainability-in-Singapore-Full-Report.pdf" TargetMode="External"/><Relationship Id="rId34" Type="http://schemas.openxmlformats.org/officeDocument/2006/relationships/hyperlink" Target="http://www.cybergauge-karenqjy.me/" TargetMode="External"/><Relationship Id="rId42" Type="http://schemas.openxmlformats.org/officeDocument/2006/relationships/hyperlink" Target="https://tupbooksgowhere.cc/" TargetMode="External"/><Relationship Id="rId47" Type="http://schemas.openxmlformats.org/officeDocument/2006/relationships/hyperlink" Target="https://food-waste-warrior.com/" TargetMode="External"/><Relationship Id="rId50" Type="http://schemas.openxmlformats.org/officeDocument/2006/relationships/hyperlink" Target="https://kopi-pro.com/" TargetMode="External"/><Relationship Id="rId7" Type="http://schemas.openxmlformats.org/officeDocument/2006/relationships/hyperlink" Target="https://runbuddy.run/start" TargetMode="External"/><Relationship Id="rId2" Type="http://schemas.openxmlformats.org/officeDocument/2006/relationships/hyperlink" Target="https://tennis-for-life.com/" TargetMode="External"/><Relationship Id="rId16" Type="http://schemas.openxmlformats.org/officeDocument/2006/relationships/hyperlink" Target="https://biteright.online/" TargetMode="External"/><Relationship Id="rId29" Type="http://schemas.openxmlformats.org/officeDocument/2006/relationships/hyperlink" Target="https://apps.apple.com/gb/app/save-your-wardrobe-organiser/id1485757044" TargetMode="External"/><Relationship Id="rId11" Type="http://schemas.openxmlformats.org/officeDocument/2006/relationships/hyperlink" Target="https://properly.colinchan.co/" TargetMode="External"/><Relationship Id="rId24" Type="http://schemas.openxmlformats.org/officeDocument/2006/relationships/hyperlink" Target="http://www.food-genie.com/" TargetMode="External"/><Relationship Id="rId32" Type="http://schemas.openxmlformats.org/officeDocument/2006/relationships/hyperlink" Target="http://www.flymiles.cc/" TargetMode="External"/><Relationship Id="rId37" Type="http://schemas.openxmlformats.org/officeDocument/2006/relationships/hyperlink" Target="http://productdesigngame.org/" TargetMode="External"/><Relationship Id="rId40" Type="http://schemas.openxmlformats.org/officeDocument/2006/relationships/hyperlink" Target="https://ascacademy7878.org/" TargetMode="External"/><Relationship Id="rId45" Type="http://schemas.openxmlformats.org/officeDocument/2006/relationships/hyperlink" Target="https://digital-tool.work/" TargetMode="External"/><Relationship Id="rId5" Type="http://schemas.openxmlformats.org/officeDocument/2006/relationships/hyperlink" Target="https://conservationcompendium.com/" TargetMode="External"/><Relationship Id="rId15" Type="http://schemas.openxmlformats.org/officeDocument/2006/relationships/hyperlink" Target="https://www.mealboard.com/" TargetMode="External"/><Relationship Id="rId23" Type="http://schemas.openxmlformats.org/officeDocument/2006/relationships/hyperlink" Target="http://www.food-genie.com/" TargetMode="External"/><Relationship Id="rId28" Type="http://schemas.openxmlformats.org/officeDocument/2006/relationships/hyperlink" Target="http://99centsdailygratitude.com/" TargetMode="External"/><Relationship Id="rId36" Type="http://schemas.openxmlformats.org/officeDocument/2006/relationships/hyperlink" Target="http://eatwhat.org/" TargetMode="External"/><Relationship Id="rId49" Type="http://schemas.openxmlformats.org/officeDocument/2006/relationships/hyperlink" Target="https://cheapcleaneats.life/" TargetMode="External"/><Relationship Id="rId10" Type="http://schemas.openxmlformats.org/officeDocument/2006/relationships/hyperlink" Target="http://bubbleteagowhere.com/" TargetMode="External"/><Relationship Id="rId19" Type="http://schemas.openxmlformats.org/officeDocument/2006/relationships/hyperlink" Target="https://www.fastcompany.com/91109843/listy-list-what-you-like" TargetMode="External"/><Relationship Id="rId31" Type="http://schemas.openxmlformats.org/officeDocument/2006/relationships/hyperlink" Target="https://b4ets.org/" TargetMode="External"/><Relationship Id="rId44" Type="http://schemas.openxmlformats.org/officeDocument/2006/relationships/hyperlink" Target="http://investforgood.co/" TargetMode="External"/><Relationship Id="rId4" Type="http://schemas.openxmlformats.org/officeDocument/2006/relationships/hyperlink" Target="https://sporton.site/" TargetMode="External"/><Relationship Id="rId9" Type="http://schemas.openxmlformats.org/officeDocument/2006/relationships/hyperlink" Target="http://www.bookaseat.org/" TargetMode="External"/><Relationship Id="rId14" Type="http://schemas.openxmlformats.org/officeDocument/2006/relationships/hyperlink" Target="https://consciousspaces.org/" TargetMode="External"/><Relationship Id="rId22" Type="http://schemas.openxmlformats.org/officeDocument/2006/relationships/hyperlink" Target="http://www.recyclelah.org/" TargetMode="External"/><Relationship Id="rId27" Type="http://schemas.openxmlformats.org/officeDocument/2006/relationships/hyperlink" Target="http://thecodistack.com/" TargetMode="External"/><Relationship Id="rId30" Type="http://schemas.openxmlformats.org/officeDocument/2006/relationships/hyperlink" Target="http://www.wherecanlepak.ngkelly.com/" TargetMode="External"/><Relationship Id="rId35" Type="http://schemas.openxmlformats.org/officeDocument/2006/relationships/hyperlink" Target="http://hoophub.org/" TargetMode="External"/><Relationship Id="rId43" Type="http://schemas.openxmlformats.org/officeDocument/2006/relationships/hyperlink" Target="https://simhanqiang.com/" TargetMode="External"/><Relationship Id="rId48" Type="http://schemas.openxmlformats.org/officeDocument/2006/relationships/hyperlink" Target="https://mentee-meets-mentor.app/" TargetMode="External"/><Relationship Id="rId8" Type="http://schemas.openxmlformats.org/officeDocument/2006/relationships/hyperlink" Target="http://weekend-do-what.org/" TargetMode="External"/><Relationship Id="rId3" Type="http://schemas.openxmlformats.org/officeDocument/2006/relationships/hyperlink" Target="https://www.sgcoofficefinder.com/" TargetMode="External"/><Relationship Id="rId12" Type="http://schemas.openxmlformats.org/officeDocument/2006/relationships/hyperlink" Target="https://thirst-trap.org/" TargetMode="External"/><Relationship Id="rId17" Type="http://schemas.openxmlformats.org/officeDocument/2006/relationships/hyperlink" Target="https://www.top10.com/cocktail-apps" TargetMode="External"/><Relationship Id="rId25" Type="http://schemas.openxmlformats.org/officeDocument/2006/relationships/hyperlink" Target="https://ollies-magical-friends.xyz/" TargetMode="External"/><Relationship Id="rId33" Type="http://schemas.openxmlformats.org/officeDocument/2006/relationships/hyperlink" Target="https://healthmeals.org/" TargetMode="External"/><Relationship Id="rId38" Type="http://schemas.openxmlformats.org/officeDocument/2006/relationships/hyperlink" Target="http://www.enrichease.com/" TargetMode="External"/><Relationship Id="rId46" Type="http://schemas.openxmlformats.org/officeDocument/2006/relationships/hyperlink" Target="https://hotelkitchen.org/toolkit/serving/" TargetMode="External"/><Relationship Id="rId20" Type="http://schemas.openxmlformats.org/officeDocument/2006/relationships/hyperlink" Target="http://get-recced.com/" TargetMode="External"/><Relationship Id="rId41" Type="http://schemas.openxmlformats.org/officeDocument/2006/relationships/hyperlink" Target="http://cpfoptimiser.com/" TargetMode="External"/><Relationship Id="rId1" Type="http://schemas.openxmlformats.org/officeDocument/2006/relationships/hyperlink" Target="https://littletrails.org/" TargetMode="External"/><Relationship Id="rId6" Type="http://schemas.openxmlformats.org/officeDocument/2006/relationships/hyperlink" Target="https://angelawp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pageSetUpPr fitToPage="1"/>
  </sheetPr>
  <dimension ref="A1:AK52"/>
  <sheetViews>
    <sheetView workbookViewId="0">
      <pane xSplit="2" ySplit="1" topLeftCell="C50" activePane="bottomRight" state="frozen"/>
      <selection pane="topRight" activeCell="C1" sqref="C1"/>
      <selection pane="bottomLeft" activeCell="A4" sqref="A4"/>
      <selection pane="bottomRight" sqref="A1:E51"/>
    </sheetView>
  </sheetViews>
  <sheetFormatPr defaultColWidth="12.6640625" defaultRowHeight="15.75" customHeight="1"/>
  <cols>
    <col min="1" max="1" width="3.33203125" customWidth="1"/>
    <col min="2" max="2" width="20.88671875" customWidth="1"/>
    <col min="3" max="3" width="24.33203125" customWidth="1"/>
    <col min="4" max="4" width="26.88671875" customWidth="1"/>
    <col min="5" max="5" width="37.21875" customWidth="1"/>
    <col min="6" max="6" width="12.6640625" hidden="1"/>
    <col min="7" max="7" width="12.6640625" customWidth="1"/>
  </cols>
  <sheetData>
    <row r="1" spans="1:6" ht="26.4">
      <c r="A1" s="6" t="s">
        <v>899</v>
      </c>
      <c r="B1" s="6" t="s">
        <v>900</v>
      </c>
      <c r="C1" s="7" t="s">
        <v>895</v>
      </c>
      <c r="D1" s="7" t="s">
        <v>896</v>
      </c>
      <c r="E1" s="7" t="s">
        <v>897</v>
      </c>
      <c r="F1" s="11"/>
    </row>
    <row r="2" spans="1:6" ht="237.6">
      <c r="A2" s="12">
        <v>1</v>
      </c>
      <c r="B2" s="13" t="s">
        <v>20</v>
      </c>
      <c r="C2" s="18" t="s">
        <v>21</v>
      </c>
      <c r="D2" s="18" t="s">
        <v>22</v>
      </c>
      <c r="E2" s="15" t="s">
        <v>23</v>
      </c>
      <c r="F2" s="23"/>
    </row>
    <row r="3" spans="1:6" ht="92.4">
      <c r="A3" s="12">
        <v>16</v>
      </c>
      <c r="B3" s="24" t="s">
        <v>25</v>
      </c>
      <c r="C3" s="25" t="s">
        <v>26</v>
      </c>
      <c r="D3" s="18" t="s">
        <v>27</v>
      </c>
      <c r="E3" s="15" t="s">
        <v>28</v>
      </c>
      <c r="F3" s="23"/>
    </row>
    <row r="4" spans="1:6" ht="277.2">
      <c r="A4" s="12">
        <v>20</v>
      </c>
      <c r="B4" s="24" t="s">
        <v>29</v>
      </c>
      <c r="C4" s="29" t="s">
        <v>30</v>
      </c>
      <c r="D4" s="30" t="s">
        <v>31</v>
      </c>
      <c r="E4" s="26" t="s">
        <v>32</v>
      </c>
      <c r="F4" s="23"/>
    </row>
    <row r="5" spans="1:6" ht="129" customHeight="1">
      <c r="A5" s="12">
        <v>21</v>
      </c>
      <c r="B5" s="24" t="s">
        <v>33</v>
      </c>
      <c r="C5" s="15" t="s">
        <v>34</v>
      </c>
      <c r="D5" s="18" t="s">
        <v>35</v>
      </c>
      <c r="E5" s="15" t="s">
        <v>36</v>
      </c>
      <c r="F5" s="23"/>
    </row>
    <row r="6" spans="1:6" ht="184.8">
      <c r="A6" s="12">
        <v>22</v>
      </c>
      <c r="B6" s="24" t="s">
        <v>37</v>
      </c>
      <c r="C6" s="26" t="s">
        <v>38</v>
      </c>
      <c r="D6" s="32" t="s">
        <v>39</v>
      </c>
      <c r="E6" s="33" t="s">
        <v>40</v>
      </c>
      <c r="F6" s="23"/>
    </row>
    <row r="7" spans="1:6" ht="184.8">
      <c r="A7" s="12">
        <v>23</v>
      </c>
      <c r="B7" s="24" t="s">
        <v>41</v>
      </c>
      <c r="C7" s="34" t="s">
        <v>42</v>
      </c>
      <c r="D7" s="18" t="s">
        <v>43</v>
      </c>
      <c r="E7" s="15" t="s">
        <v>44</v>
      </c>
      <c r="F7" s="23"/>
    </row>
    <row r="8" spans="1:6" ht="224.4">
      <c r="A8" s="12">
        <v>24</v>
      </c>
      <c r="B8" s="24" t="s">
        <v>46</v>
      </c>
      <c r="C8" s="155" t="s">
        <v>47</v>
      </c>
      <c r="D8" s="18" t="s">
        <v>48</v>
      </c>
      <c r="E8" s="36" t="s">
        <v>49</v>
      </c>
      <c r="F8" s="23"/>
    </row>
    <row r="9" spans="1:6" ht="205.5" customHeight="1">
      <c r="A9" s="12">
        <v>25</v>
      </c>
      <c r="B9" s="24" t="s">
        <v>50</v>
      </c>
      <c r="C9" s="15" t="s">
        <v>51</v>
      </c>
      <c r="D9" s="18" t="s">
        <v>52</v>
      </c>
      <c r="E9" s="15" t="s">
        <v>53</v>
      </c>
      <c r="F9" s="23"/>
    </row>
    <row r="10" spans="1:6" ht="290.39999999999998">
      <c r="A10" s="12">
        <v>26</v>
      </c>
      <c r="B10" s="38" t="s">
        <v>54</v>
      </c>
      <c r="C10" s="15" t="s">
        <v>55</v>
      </c>
      <c r="D10" s="40" t="s">
        <v>56</v>
      </c>
      <c r="E10" s="15" t="s">
        <v>57</v>
      </c>
      <c r="F10" s="23"/>
    </row>
    <row r="11" spans="1:6" ht="211.2">
      <c r="A11" s="12">
        <v>33</v>
      </c>
      <c r="B11" s="14" t="s">
        <v>58</v>
      </c>
      <c r="C11" s="15" t="s">
        <v>59</v>
      </c>
      <c r="D11" s="18" t="s">
        <v>60</v>
      </c>
      <c r="E11" s="15" t="s">
        <v>61</v>
      </c>
      <c r="F11" s="23"/>
    </row>
    <row r="12" spans="1:6" ht="79.2">
      <c r="A12" s="12">
        <v>9</v>
      </c>
      <c r="B12" s="14" t="s">
        <v>62</v>
      </c>
      <c r="C12" s="15" t="s">
        <v>63</v>
      </c>
      <c r="D12" s="18" t="s">
        <v>64</v>
      </c>
      <c r="E12" s="15" t="s">
        <v>65</v>
      </c>
      <c r="F12" s="23"/>
    </row>
    <row r="13" spans="1:6" ht="409.6" customHeight="1">
      <c r="A13" s="12">
        <v>10</v>
      </c>
      <c r="B13" s="14" t="s">
        <v>66</v>
      </c>
      <c r="C13" s="15" t="s">
        <v>67</v>
      </c>
      <c r="D13" s="18" t="s">
        <v>68</v>
      </c>
      <c r="E13" s="154" t="s">
        <v>69</v>
      </c>
      <c r="F13" s="23"/>
    </row>
    <row r="14" spans="1:6" ht="352.5" customHeight="1">
      <c r="A14" s="12">
        <v>12</v>
      </c>
      <c r="B14" s="14" t="s">
        <v>70</v>
      </c>
      <c r="C14" s="15" t="s">
        <v>71</v>
      </c>
      <c r="D14" s="18" t="s">
        <v>72</v>
      </c>
      <c r="E14" s="16" t="s">
        <v>73</v>
      </c>
      <c r="F14" s="23"/>
    </row>
    <row r="15" spans="1:6" ht="171.6">
      <c r="A15" s="12">
        <v>13</v>
      </c>
      <c r="B15" s="14" t="s">
        <v>75</v>
      </c>
      <c r="C15" s="15" t="s">
        <v>76</v>
      </c>
      <c r="D15" s="18" t="s">
        <v>77</v>
      </c>
      <c r="E15" s="15" t="s">
        <v>78</v>
      </c>
      <c r="F15" s="23"/>
    </row>
    <row r="16" spans="1:6" ht="118.8">
      <c r="A16" s="12">
        <v>15</v>
      </c>
      <c r="B16" s="43" t="s">
        <v>79</v>
      </c>
      <c r="C16" s="15" t="s">
        <v>80</v>
      </c>
      <c r="D16" s="18" t="s">
        <v>81</v>
      </c>
      <c r="E16" s="15" t="s">
        <v>82</v>
      </c>
      <c r="F16" s="23"/>
    </row>
    <row r="17" spans="1:6" ht="211.2">
      <c r="A17" s="12">
        <v>17</v>
      </c>
      <c r="B17" s="43" t="s">
        <v>83</v>
      </c>
      <c r="C17" s="45" t="s">
        <v>84</v>
      </c>
      <c r="D17" s="18" t="s">
        <v>85</v>
      </c>
      <c r="E17" s="46" t="s">
        <v>86</v>
      </c>
      <c r="F17" s="23"/>
    </row>
    <row r="18" spans="1:6" ht="158.4">
      <c r="A18" s="12">
        <v>19</v>
      </c>
      <c r="B18" s="47" t="s">
        <v>87</v>
      </c>
      <c r="C18" s="15" t="s">
        <v>88</v>
      </c>
      <c r="D18" s="49" t="s">
        <v>89</v>
      </c>
      <c r="E18" s="39" t="s">
        <v>90</v>
      </c>
      <c r="F18" s="23"/>
    </row>
    <row r="19" spans="1:6" ht="240.75" customHeight="1">
      <c r="A19" s="12">
        <v>32</v>
      </c>
      <c r="B19" s="14" t="s">
        <v>91</v>
      </c>
      <c r="C19" s="15"/>
      <c r="D19" s="18" t="s">
        <v>92</v>
      </c>
      <c r="E19" s="15" t="s">
        <v>93</v>
      </c>
      <c r="F19" s="23"/>
    </row>
    <row r="20" spans="1:6" ht="171.6">
      <c r="A20" s="12">
        <v>35</v>
      </c>
      <c r="B20" s="14" t="s">
        <v>94</v>
      </c>
      <c r="C20" s="15" t="s">
        <v>95</v>
      </c>
      <c r="D20" s="18" t="s">
        <v>96</v>
      </c>
      <c r="E20" s="15" t="s">
        <v>97</v>
      </c>
      <c r="F20" s="23"/>
    </row>
    <row r="21" spans="1:6" ht="145.19999999999999">
      <c r="A21" s="12">
        <v>8</v>
      </c>
      <c r="B21" s="14" t="s">
        <v>98</v>
      </c>
      <c r="C21" s="15" t="s">
        <v>99</v>
      </c>
      <c r="D21" s="18" t="s">
        <v>100</v>
      </c>
      <c r="E21" s="16" t="s">
        <v>101</v>
      </c>
      <c r="F21" s="23"/>
    </row>
    <row r="22" spans="1:6" ht="250.8">
      <c r="A22" s="12">
        <v>11</v>
      </c>
      <c r="B22" s="14" t="s">
        <v>102</v>
      </c>
      <c r="C22" s="16" t="s">
        <v>103</v>
      </c>
      <c r="D22" s="18" t="s">
        <v>104</v>
      </c>
      <c r="E22" s="16" t="s">
        <v>105</v>
      </c>
      <c r="F22" s="23"/>
    </row>
    <row r="23" spans="1:6" ht="92.4">
      <c r="A23" s="12">
        <v>27</v>
      </c>
      <c r="B23" s="14" t="s">
        <v>106</v>
      </c>
      <c r="C23" s="17" t="s">
        <v>107</v>
      </c>
      <c r="D23" s="18" t="s">
        <v>108</v>
      </c>
      <c r="E23" s="15" t="s">
        <v>109</v>
      </c>
      <c r="F23" s="23"/>
    </row>
    <row r="24" spans="1:6" ht="250.8">
      <c r="A24" s="12">
        <v>28</v>
      </c>
      <c r="B24" s="24" t="s">
        <v>110</v>
      </c>
      <c r="C24" s="18" t="s">
        <v>111</v>
      </c>
      <c r="D24" s="18" t="s">
        <v>112</v>
      </c>
      <c r="E24" s="15" t="s">
        <v>113</v>
      </c>
      <c r="F24" s="23"/>
    </row>
    <row r="25" spans="1:6" ht="145.19999999999999">
      <c r="A25" s="12">
        <v>36</v>
      </c>
      <c r="B25" s="13" t="s">
        <v>114</v>
      </c>
      <c r="C25" s="15" t="s">
        <v>115</v>
      </c>
      <c r="D25" s="18" t="s">
        <v>116</v>
      </c>
      <c r="E25" s="33" t="s">
        <v>117</v>
      </c>
      <c r="F25" s="23"/>
    </row>
    <row r="26" spans="1:6" ht="299.25" customHeight="1">
      <c r="A26" s="12">
        <v>37</v>
      </c>
      <c r="B26" s="13" t="s">
        <v>118</v>
      </c>
      <c r="C26" s="17" t="s">
        <v>119</v>
      </c>
      <c r="D26" s="51" t="s">
        <v>120</v>
      </c>
      <c r="E26" s="15" t="s">
        <v>121</v>
      </c>
      <c r="F26" s="23"/>
    </row>
    <row r="27" spans="1:6" ht="92.4">
      <c r="A27" s="12">
        <v>40</v>
      </c>
      <c r="B27" s="14" t="s">
        <v>122</v>
      </c>
      <c r="C27" s="26" t="s">
        <v>123</v>
      </c>
      <c r="D27" s="32" t="s">
        <v>124</v>
      </c>
      <c r="E27" s="26" t="s">
        <v>125</v>
      </c>
      <c r="F27" s="23"/>
    </row>
    <row r="28" spans="1:6" ht="224.4">
      <c r="A28" s="12">
        <v>46</v>
      </c>
      <c r="B28" s="153" t="s">
        <v>126</v>
      </c>
      <c r="C28" s="19" t="s">
        <v>127</v>
      </c>
      <c r="D28" s="49" t="s">
        <v>128</v>
      </c>
      <c r="E28" s="15" t="s">
        <v>129</v>
      </c>
      <c r="F28" s="23"/>
    </row>
    <row r="29" spans="1:6" ht="303.60000000000002">
      <c r="A29" s="12">
        <v>48</v>
      </c>
      <c r="B29" s="14" t="s">
        <v>130</v>
      </c>
      <c r="C29" s="15" t="s">
        <v>131</v>
      </c>
      <c r="D29" s="18" t="s">
        <v>132</v>
      </c>
      <c r="E29" s="15" t="s">
        <v>133</v>
      </c>
      <c r="F29" s="23"/>
    </row>
    <row r="30" spans="1:6" ht="290.39999999999998">
      <c r="A30" s="12">
        <v>18</v>
      </c>
      <c r="B30" s="24" t="s">
        <v>134</v>
      </c>
      <c r="C30" s="55" t="s">
        <v>135</v>
      </c>
      <c r="D30" s="56" t="s">
        <v>136</v>
      </c>
      <c r="E30" s="15" t="s">
        <v>137</v>
      </c>
      <c r="F30" s="23"/>
    </row>
    <row r="31" spans="1:6" ht="118.8">
      <c r="A31" s="12">
        <v>29</v>
      </c>
      <c r="B31" s="14" t="s">
        <v>138</v>
      </c>
      <c r="C31" s="15" t="s">
        <v>139</v>
      </c>
      <c r="D31" s="15" t="s">
        <v>140</v>
      </c>
      <c r="E31" s="15" t="s">
        <v>141</v>
      </c>
      <c r="F31" s="23"/>
    </row>
    <row r="32" spans="1:6" ht="198">
      <c r="A32" s="12">
        <v>30</v>
      </c>
      <c r="B32" s="14" t="s">
        <v>142</v>
      </c>
      <c r="C32" s="15" t="s">
        <v>143</v>
      </c>
      <c r="D32" s="18" t="s">
        <v>144</v>
      </c>
      <c r="E32" s="15" t="s">
        <v>145</v>
      </c>
      <c r="F32" s="23"/>
    </row>
    <row r="33" spans="1:6" ht="13.2">
      <c r="A33" s="12">
        <v>38</v>
      </c>
      <c r="B33" s="13" t="s">
        <v>146</v>
      </c>
      <c r="C33" s="59"/>
      <c r="D33" s="59"/>
      <c r="E33" s="15"/>
      <c r="F33" s="23"/>
    </row>
    <row r="34" spans="1:6" ht="237.6">
      <c r="A34" s="12">
        <v>41</v>
      </c>
      <c r="B34" s="14" t="s">
        <v>147</v>
      </c>
      <c r="C34" s="60" t="s">
        <v>148</v>
      </c>
      <c r="D34" s="51" t="s">
        <v>149</v>
      </c>
      <c r="E34" s="17" t="s">
        <v>150</v>
      </c>
      <c r="F34" s="23"/>
    </row>
    <row r="35" spans="1:6" ht="92.4">
      <c r="A35" s="12">
        <v>42</v>
      </c>
      <c r="B35" s="14" t="s">
        <v>151</v>
      </c>
      <c r="C35" s="15" t="s">
        <v>152</v>
      </c>
      <c r="D35" s="61" t="s">
        <v>153</v>
      </c>
      <c r="E35" s="15" t="s">
        <v>154</v>
      </c>
      <c r="F35" s="23"/>
    </row>
    <row r="36" spans="1:6" ht="264" customHeight="1">
      <c r="A36" s="12">
        <v>44</v>
      </c>
      <c r="B36" s="14" t="s">
        <v>155</v>
      </c>
      <c r="C36" s="15" t="s">
        <v>156</v>
      </c>
      <c r="D36" s="18" t="s">
        <v>157</v>
      </c>
      <c r="E36" s="62" t="s">
        <v>158</v>
      </c>
      <c r="F36" s="23"/>
    </row>
    <row r="37" spans="1:6" ht="198">
      <c r="A37" s="12">
        <v>45</v>
      </c>
      <c r="B37" s="14" t="s">
        <v>159</v>
      </c>
      <c r="C37" s="15" t="s">
        <v>160</v>
      </c>
      <c r="D37" s="18" t="s">
        <v>161</v>
      </c>
      <c r="E37" s="63" t="s">
        <v>162</v>
      </c>
      <c r="F37" s="23"/>
    </row>
    <row r="38" spans="1:6" ht="39.6">
      <c r="A38" s="12">
        <v>47</v>
      </c>
      <c r="B38" s="14" t="s">
        <v>163</v>
      </c>
      <c r="C38" s="15" t="s">
        <v>164</v>
      </c>
      <c r="D38" s="18" t="s">
        <v>165</v>
      </c>
      <c r="E38" s="15" t="s">
        <v>166</v>
      </c>
      <c r="F38" s="23"/>
    </row>
    <row r="39" spans="1:6" ht="237.6">
      <c r="A39" s="12">
        <v>2</v>
      </c>
      <c r="B39" s="13" t="s">
        <v>167</v>
      </c>
      <c r="C39" s="15" t="s">
        <v>168</v>
      </c>
      <c r="D39" s="18" t="s">
        <v>169</v>
      </c>
      <c r="E39" s="15" t="s">
        <v>170</v>
      </c>
      <c r="F39" s="23"/>
    </row>
    <row r="40" spans="1:6" ht="409.6" customHeight="1">
      <c r="A40" s="12">
        <v>3</v>
      </c>
      <c r="B40" s="14" t="s">
        <v>171</v>
      </c>
      <c r="C40" s="15"/>
      <c r="D40" s="15"/>
      <c r="E40" s="15"/>
      <c r="F40" s="28"/>
    </row>
    <row r="41" spans="1:6" ht="13.2">
      <c r="A41" s="12">
        <v>4</v>
      </c>
      <c r="B41" s="14" t="s">
        <v>172</v>
      </c>
      <c r="C41" s="26"/>
      <c r="D41" s="15"/>
      <c r="E41" s="26"/>
      <c r="F41" s="23"/>
    </row>
    <row r="42" spans="1:6" ht="356.4">
      <c r="A42" s="12">
        <v>5</v>
      </c>
      <c r="B42" s="14" t="s">
        <v>173</v>
      </c>
      <c r="C42" s="15" t="s">
        <v>174</v>
      </c>
      <c r="D42" s="65" t="s">
        <v>175</v>
      </c>
      <c r="E42" s="65" t="s">
        <v>176</v>
      </c>
      <c r="F42" s="23"/>
    </row>
    <row r="43" spans="1:6" ht="409.6" customHeight="1">
      <c r="A43" s="12">
        <v>6</v>
      </c>
      <c r="B43" s="14" t="s">
        <v>177</v>
      </c>
      <c r="C43" s="15" t="s">
        <v>178</v>
      </c>
      <c r="D43" s="18" t="s">
        <v>179</v>
      </c>
      <c r="E43" s="15" t="s">
        <v>180</v>
      </c>
      <c r="F43" s="23"/>
    </row>
    <row r="44" spans="1:6" ht="13.2">
      <c r="A44" s="12">
        <v>31</v>
      </c>
      <c r="B44" s="14" t="s">
        <v>181</v>
      </c>
      <c r="C44" s="15"/>
      <c r="D44" s="15"/>
      <c r="E44" s="15"/>
      <c r="F44" s="23"/>
    </row>
    <row r="45" spans="1:6" ht="13.2">
      <c r="A45" s="12">
        <v>34</v>
      </c>
      <c r="B45" s="14" t="s">
        <v>182</v>
      </c>
      <c r="C45" s="15"/>
      <c r="D45" s="15"/>
      <c r="E45" s="15"/>
      <c r="F45" s="23"/>
    </row>
    <row r="46" spans="1:6" ht="303.60000000000002">
      <c r="A46" s="12">
        <v>39</v>
      </c>
      <c r="B46" s="14" t="s">
        <v>183</v>
      </c>
      <c r="C46" s="15" t="s">
        <v>184</v>
      </c>
      <c r="D46" s="18" t="s">
        <v>185</v>
      </c>
      <c r="E46" s="64" t="s">
        <v>186</v>
      </c>
      <c r="F46" s="23"/>
    </row>
    <row r="47" spans="1:6" ht="316.8">
      <c r="A47" s="12">
        <v>43</v>
      </c>
      <c r="B47" s="14" t="s">
        <v>187</v>
      </c>
      <c r="C47" s="28" t="s">
        <v>188</v>
      </c>
      <c r="D47" s="52" t="s">
        <v>189</v>
      </c>
      <c r="E47" s="15" t="s">
        <v>190</v>
      </c>
      <c r="F47" s="23"/>
    </row>
    <row r="48" spans="1:6" ht="145.19999999999999">
      <c r="A48" s="12">
        <v>49</v>
      </c>
      <c r="B48" s="14" t="s">
        <v>191</v>
      </c>
      <c r="C48" s="15" t="s">
        <v>192</v>
      </c>
      <c r="D48" s="18" t="s">
        <v>193</v>
      </c>
      <c r="E48" s="15" t="s">
        <v>194</v>
      </c>
      <c r="F48" s="23"/>
    </row>
    <row r="49" spans="1:6" ht="13.2">
      <c r="A49" s="12">
        <v>7</v>
      </c>
      <c r="B49" s="14" t="s">
        <v>195</v>
      </c>
      <c r="C49" s="19"/>
      <c r="D49" s="15"/>
      <c r="E49" s="15"/>
      <c r="F49" s="23"/>
    </row>
    <row r="50" spans="1:6" ht="303.60000000000002">
      <c r="A50" s="12">
        <v>14</v>
      </c>
      <c r="B50" s="24" t="s">
        <v>196</v>
      </c>
      <c r="C50" s="15" t="s">
        <v>197</v>
      </c>
      <c r="D50" s="18" t="s">
        <v>198</v>
      </c>
      <c r="E50" s="33" t="s">
        <v>199</v>
      </c>
      <c r="F50" s="23"/>
    </row>
    <row r="51" spans="1:6" ht="13.2">
      <c r="A51" s="68">
        <v>50</v>
      </c>
      <c r="B51" s="53" t="s">
        <v>200</v>
      </c>
      <c r="C51" s="16"/>
      <c r="D51" s="16"/>
      <c r="E51" s="16"/>
      <c r="F51" s="23"/>
    </row>
    <row r="52" spans="1:6" ht="13.2">
      <c r="A52" s="68"/>
      <c r="B52" s="53"/>
      <c r="C52" s="16"/>
      <c r="D52" s="16"/>
      <c r="E52" s="16"/>
      <c r="F52" s="23"/>
    </row>
  </sheetData>
  <hyperlinks>
    <hyperlink ref="D50" r:id="rId1" xr:uid="{00000000-0004-0000-0000-00003A000000}"/>
    <hyperlink ref="D48" r:id="rId2" xr:uid="{00000000-0004-0000-0000-000039000000}"/>
    <hyperlink ref="D47" r:id="rId3" xr:uid="{00000000-0004-0000-0000-000038000000}"/>
    <hyperlink ref="E46" r:id="rId4" xr:uid="{00000000-0004-0000-0000-000037000000}"/>
    <hyperlink ref="D46" r:id="rId5" xr:uid="{00000000-0004-0000-0000-000036000000}"/>
    <hyperlink ref="D43" r:id="rId6" xr:uid="{00000000-0004-0000-0000-000035000000}"/>
    <hyperlink ref="D39" r:id="rId7" xr:uid="{00000000-0004-0000-0000-000034000000}"/>
    <hyperlink ref="D38" r:id="rId8" xr:uid="{00000000-0004-0000-0000-000033000000}"/>
    <hyperlink ref="D37" r:id="rId9" xr:uid="{00000000-0004-0000-0000-000031000000}"/>
    <hyperlink ref="D36" r:id="rId10" xr:uid="{00000000-0004-0000-0000-000030000000}"/>
    <hyperlink ref="D35" r:id="rId11" xr:uid="{00000000-0004-0000-0000-00002F000000}"/>
    <hyperlink ref="D34" r:id="rId12" xr:uid="{00000000-0004-0000-0000-00002C000000}"/>
    <hyperlink ref="D32" r:id="rId13" xr:uid="{00000000-0004-0000-0000-00002B000000}"/>
    <hyperlink ref="D30" r:id="rId14" xr:uid="{00000000-0004-0000-0000-000029000000}"/>
    <hyperlink ref="D29" r:id="rId15" xr:uid="{00000000-0004-0000-0000-000028000000}"/>
    <hyperlink ref="D28" r:id="rId16" xr:uid="{00000000-0004-0000-0000-000025000000}"/>
    <hyperlink ref="D27" r:id="rId17" xr:uid="{00000000-0004-0000-0000-000023000000}"/>
    <hyperlink ref="D26" r:id="rId18" xr:uid="{00000000-0004-0000-0000-000021000000}"/>
    <hyperlink ref="D25" r:id="rId19" xr:uid="{00000000-0004-0000-0000-00001F000000}"/>
    <hyperlink ref="D24" r:id="rId20" xr:uid="{00000000-0004-0000-0000-00001E000000}"/>
    <hyperlink ref="C24" r:id="rId21" xr:uid="{00000000-0004-0000-0000-00001D000000}"/>
    <hyperlink ref="D23" r:id="rId22" xr:uid="{00000000-0004-0000-0000-00001C000000}"/>
    <hyperlink ref="D22" r:id="rId23" xr:uid="{00000000-0004-0000-0000-00001B000000}"/>
    <hyperlink ref="D21" r:id="rId24" xr:uid="{00000000-0004-0000-0000-00001A000000}"/>
    <hyperlink ref="D20" r:id="rId25" xr:uid="{00000000-0004-0000-0000-000019000000}"/>
    <hyperlink ref="D19" r:id="rId26" xr:uid="{00000000-0004-0000-0000-000017000000}"/>
    <hyperlink ref="D18" r:id="rId27" xr:uid="{00000000-0004-0000-0000-000016000000}"/>
    <hyperlink ref="D17" r:id="rId28" xr:uid="{00000000-0004-0000-0000-000015000000}"/>
    <hyperlink ref="D16" r:id="rId29" xr:uid="{00000000-0004-0000-0000-000014000000}"/>
    <hyperlink ref="D15" r:id="rId30" xr:uid="{00000000-0004-0000-0000-000013000000}"/>
    <hyperlink ref="D14" r:id="rId31" xr:uid="{00000000-0004-0000-0000-000012000000}"/>
    <hyperlink ref="D13" r:id="rId32" xr:uid="{00000000-0004-0000-0000-000011000000}"/>
    <hyperlink ref="D12" r:id="rId33" xr:uid="{00000000-0004-0000-0000-00000F000000}"/>
    <hyperlink ref="D11" r:id="rId34" xr:uid="{00000000-0004-0000-0000-00000E000000}"/>
    <hyperlink ref="D10" r:id="rId35" xr:uid="{00000000-0004-0000-0000-00000D000000}"/>
    <hyperlink ref="D9" r:id="rId36" xr:uid="{00000000-0004-0000-0000-00000C000000}"/>
    <hyperlink ref="D8" r:id="rId37" xr:uid="{00000000-0004-0000-0000-00000A000000}"/>
    <hyperlink ref="D7" r:id="rId38" xr:uid="{00000000-0004-0000-0000-000008000000}"/>
    <hyperlink ref="D6" r:id="rId39" xr:uid="{00000000-0004-0000-0000-000007000000}"/>
    <hyperlink ref="D5" r:id="rId40" xr:uid="{00000000-0004-0000-0000-000006000000}"/>
    <hyperlink ref="D4" r:id="rId41" xr:uid="{00000000-0004-0000-0000-000005000000}"/>
    <hyperlink ref="C4" r:id="rId42" xr:uid="{00000000-0004-0000-0000-000004000000}"/>
    <hyperlink ref="D3" r:id="rId43" xr:uid="{00000000-0004-0000-0000-000003000000}"/>
    <hyperlink ref="D2" r:id="rId44" xr:uid="{00000000-0004-0000-0000-000001000000}"/>
    <hyperlink ref="C2" r:id="rId45" xr:uid="{00000000-0004-0000-0000-000000000000}"/>
  </hyperlinks>
  <printOptions horizontalCentered="1" gridLines="1"/>
  <pageMargins left="0.25" right="0.25" top="0.75" bottom="0.75" header="0" footer="0"/>
  <pageSetup paperSize="9" fitToHeight="0" pageOrder="overThenDown" orientation="landscape" cellComments="atEnd"/>
  <drawing r:id="rId46"/>
  <tableParts count="1">
    <tablePart r:id="rId4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60DD0-A5C1-4946-8941-6FA561A10D16}">
  <dimension ref="A1:E51"/>
  <sheetViews>
    <sheetView workbookViewId="0">
      <selection activeCell="A50" sqref="A1:XFD1048576"/>
    </sheetView>
  </sheetViews>
  <sheetFormatPr defaultRowHeight="13.2"/>
  <sheetData>
    <row r="1" spans="1:5" ht="26.4">
      <c r="A1" s="6" t="s">
        <v>899</v>
      </c>
      <c r="B1" s="6" t="s">
        <v>900</v>
      </c>
      <c r="C1" s="7" t="s">
        <v>895</v>
      </c>
      <c r="D1" s="7" t="s">
        <v>896</v>
      </c>
      <c r="E1" s="7" t="s">
        <v>897</v>
      </c>
    </row>
    <row r="2" spans="1:5" ht="409.6">
      <c r="A2" s="12">
        <v>1</v>
      </c>
      <c r="B2" s="13" t="s">
        <v>20</v>
      </c>
      <c r="C2" s="18" t="s">
        <v>21</v>
      </c>
      <c r="D2" s="18" t="s">
        <v>22</v>
      </c>
      <c r="E2" s="15" t="s">
        <v>23</v>
      </c>
    </row>
    <row r="3" spans="1:5" ht="290.39999999999998">
      <c r="A3" s="12">
        <v>16</v>
      </c>
      <c r="B3" s="24" t="s">
        <v>25</v>
      </c>
      <c r="C3" s="25" t="s">
        <v>26</v>
      </c>
      <c r="D3" s="18" t="s">
        <v>27</v>
      </c>
      <c r="E3" s="15" t="s">
        <v>28</v>
      </c>
    </row>
    <row r="4" spans="1:5" ht="409.6">
      <c r="A4" s="12">
        <v>20</v>
      </c>
      <c r="B4" s="24" t="s">
        <v>29</v>
      </c>
      <c r="C4" s="29" t="s">
        <v>30</v>
      </c>
      <c r="D4" s="30" t="s">
        <v>31</v>
      </c>
      <c r="E4" s="26" t="s">
        <v>32</v>
      </c>
    </row>
    <row r="5" spans="1:5" ht="409.6">
      <c r="A5" s="12">
        <v>21</v>
      </c>
      <c r="B5" s="24" t="s">
        <v>33</v>
      </c>
      <c r="C5" s="15" t="s">
        <v>34</v>
      </c>
      <c r="D5" s="18" t="s">
        <v>35</v>
      </c>
      <c r="E5" s="15" t="s">
        <v>36</v>
      </c>
    </row>
    <row r="6" spans="1:5" ht="409.6">
      <c r="A6" s="12">
        <v>22</v>
      </c>
      <c r="B6" s="24" t="s">
        <v>37</v>
      </c>
      <c r="C6" s="26" t="s">
        <v>38</v>
      </c>
      <c r="D6" s="32" t="s">
        <v>39</v>
      </c>
      <c r="E6" s="33" t="s">
        <v>40</v>
      </c>
    </row>
    <row r="7" spans="1:5" ht="409.6">
      <c r="A7" s="12">
        <v>23</v>
      </c>
      <c r="B7" s="24" t="s">
        <v>41</v>
      </c>
      <c r="C7" s="34" t="s">
        <v>42</v>
      </c>
      <c r="D7" s="18" t="s">
        <v>43</v>
      </c>
      <c r="E7" s="15" t="s">
        <v>44</v>
      </c>
    </row>
    <row r="8" spans="1:5" ht="409.6">
      <c r="A8" s="12">
        <v>24</v>
      </c>
      <c r="B8" s="24" t="s">
        <v>46</v>
      </c>
      <c r="C8" s="155" t="s">
        <v>47</v>
      </c>
      <c r="D8" s="18" t="s">
        <v>48</v>
      </c>
      <c r="E8" s="36" t="s">
        <v>49</v>
      </c>
    </row>
    <row r="9" spans="1:5" ht="277.2">
      <c r="A9" s="12">
        <v>25</v>
      </c>
      <c r="B9" s="24" t="s">
        <v>50</v>
      </c>
      <c r="C9" s="15" t="s">
        <v>51</v>
      </c>
      <c r="D9" s="18" t="s">
        <v>52</v>
      </c>
      <c r="E9" s="15" t="s">
        <v>53</v>
      </c>
    </row>
    <row r="10" spans="1:5" ht="409.6">
      <c r="A10" s="12">
        <v>26</v>
      </c>
      <c r="B10" s="38" t="s">
        <v>54</v>
      </c>
      <c r="C10" s="15" t="s">
        <v>55</v>
      </c>
      <c r="D10" s="40" t="s">
        <v>56</v>
      </c>
      <c r="E10" s="15" t="s">
        <v>57</v>
      </c>
    </row>
    <row r="11" spans="1:5" ht="409.6">
      <c r="A11" s="12">
        <v>33</v>
      </c>
      <c r="B11" s="14" t="s">
        <v>58</v>
      </c>
      <c r="C11" s="15" t="s">
        <v>59</v>
      </c>
      <c r="D11" s="18" t="s">
        <v>60</v>
      </c>
      <c r="E11" s="15" t="s">
        <v>61</v>
      </c>
    </row>
    <row r="12" spans="1:5" ht="396">
      <c r="A12" s="12">
        <v>9</v>
      </c>
      <c r="B12" s="14" t="s">
        <v>62</v>
      </c>
      <c r="C12" s="15" t="s">
        <v>63</v>
      </c>
      <c r="D12" s="18" t="s">
        <v>64</v>
      </c>
      <c r="E12" s="15" t="s">
        <v>65</v>
      </c>
    </row>
    <row r="13" spans="1:5" ht="409.6">
      <c r="A13" s="12">
        <v>10</v>
      </c>
      <c r="B13" s="14" t="s">
        <v>66</v>
      </c>
      <c r="C13" s="15" t="s">
        <v>67</v>
      </c>
      <c r="D13" s="18" t="s">
        <v>68</v>
      </c>
      <c r="E13" s="154" t="s">
        <v>69</v>
      </c>
    </row>
    <row r="14" spans="1:5" ht="409.6">
      <c r="A14" s="12">
        <v>12</v>
      </c>
      <c r="B14" s="14" t="s">
        <v>70</v>
      </c>
      <c r="C14" s="15" t="s">
        <v>71</v>
      </c>
      <c r="D14" s="18" t="s">
        <v>72</v>
      </c>
      <c r="E14" s="16" t="s">
        <v>73</v>
      </c>
    </row>
    <row r="15" spans="1:5" ht="409.6">
      <c r="A15" s="12">
        <v>13</v>
      </c>
      <c r="B15" s="14" t="s">
        <v>75</v>
      </c>
      <c r="C15" s="15" t="s">
        <v>76</v>
      </c>
      <c r="D15" s="18" t="s">
        <v>77</v>
      </c>
      <c r="E15" s="15" t="s">
        <v>78</v>
      </c>
    </row>
    <row r="16" spans="1:5" ht="409.6">
      <c r="A16" s="12">
        <v>15</v>
      </c>
      <c r="B16" s="43" t="s">
        <v>79</v>
      </c>
      <c r="C16" s="15" t="s">
        <v>80</v>
      </c>
      <c r="D16" s="18" t="s">
        <v>81</v>
      </c>
      <c r="E16" s="15" t="s">
        <v>82</v>
      </c>
    </row>
    <row r="17" spans="1:5" ht="409.6">
      <c r="A17" s="12">
        <v>17</v>
      </c>
      <c r="B17" s="43" t="s">
        <v>83</v>
      </c>
      <c r="C17" s="45" t="s">
        <v>84</v>
      </c>
      <c r="D17" s="18" t="s">
        <v>85</v>
      </c>
      <c r="E17" s="46" t="s">
        <v>86</v>
      </c>
    </row>
    <row r="18" spans="1:5" ht="409.6">
      <c r="A18" s="12">
        <v>19</v>
      </c>
      <c r="B18" s="47" t="s">
        <v>87</v>
      </c>
      <c r="C18" s="15" t="s">
        <v>88</v>
      </c>
      <c r="D18" s="49" t="s">
        <v>89</v>
      </c>
      <c r="E18" s="39" t="s">
        <v>90</v>
      </c>
    </row>
    <row r="19" spans="1:5" ht="409.6">
      <c r="A19" s="12">
        <v>32</v>
      </c>
      <c r="B19" s="14" t="s">
        <v>91</v>
      </c>
      <c r="C19" s="15"/>
      <c r="D19" s="18" t="s">
        <v>92</v>
      </c>
      <c r="E19" s="15" t="s">
        <v>93</v>
      </c>
    </row>
    <row r="20" spans="1:5" ht="409.6">
      <c r="A20" s="12">
        <v>35</v>
      </c>
      <c r="B20" s="14" t="s">
        <v>94</v>
      </c>
      <c r="C20" s="15" t="s">
        <v>95</v>
      </c>
      <c r="D20" s="18" t="s">
        <v>96</v>
      </c>
      <c r="E20" s="15" t="s">
        <v>97</v>
      </c>
    </row>
    <row r="21" spans="1:5" ht="409.6">
      <c r="A21" s="12">
        <v>8</v>
      </c>
      <c r="B21" s="14" t="s">
        <v>98</v>
      </c>
      <c r="C21" s="15" t="s">
        <v>99</v>
      </c>
      <c r="D21" s="18" t="s">
        <v>100</v>
      </c>
      <c r="E21" s="16" t="s">
        <v>101</v>
      </c>
    </row>
    <row r="22" spans="1:5" ht="409.6">
      <c r="A22" s="12">
        <v>11</v>
      </c>
      <c r="B22" s="14" t="s">
        <v>102</v>
      </c>
      <c r="C22" s="16" t="s">
        <v>103</v>
      </c>
      <c r="D22" s="18" t="s">
        <v>104</v>
      </c>
      <c r="E22" s="16" t="s">
        <v>105</v>
      </c>
    </row>
    <row r="23" spans="1:5" ht="409.6">
      <c r="A23" s="12">
        <v>27</v>
      </c>
      <c r="B23" s="14" t="s">
        <v>106</v>
      </c>
      <c r="C23" s="17" t="s">
        <v>107</v>
      </c>
      <c r="D23" s="18" t="s">
        <v>108</v>
      </c>
      <c r="E23" s="15" t="s">
        <v>109</v>
      </c>
    </row>
    <row r="24" spans="1:5" ht="382.8">
      <c r="A24" s="12">
        <v>28</v>
      </c>
      <c r="B24" s="24" t="s">
        <v>110</v>
      </c>
      <c r="C24" s="18" t="s">
        <v>111</v>
      </c>
      <c r="D24" s="18" t="s">
        <v>112</v>
      </c>
      <c r="E24" s="15" t="s">
        <v>113</v>
      </c>
    </row>
    <row r="25" spans="1:5" ht="409.6">
      <c r="A25" s="12">
        <v>36</v>
      </c>
      <c r="B25" s="13" t="s">
        <v>114</v>
      </c>
      <c r="C25" s="15" t="s">
        <v>115</v>
      </c>
      <c r="D25" s="18" t="s">
        <v>116</v>
      </c>
      <c r="E25" s="33" t="s">
        <v>117</v>
      </c>
    </row>
    <row r="26" spans="1:5" ht="409.6">
      <c r="A26" s="12">
        <v>37</v>
      </c>
      <c r="B26" s="13" t="s">
        <v>118</v>
      </c>
      <c r="C26" s="17" t="s">
        <v>119</v>
      </c>
      <c r="D26" s="51" t="s">
        <v>120</v>
      </c>
      <c r="E26" s="15" t="s">
        <v>121</v>
      </c>
    </row>
    <row r="27" spans="1:5" ht="409.6">
      <c r="A27" s="12">
        <v>40</v>
      </c>
      <c r="B27" s="14" t="s">
        <v>122</v>
      </c>
      <c r="C27" s="26" t="s">
        <v>123</v>
      </c>
      <c r="D27" s="32" t="s">
        <v>124</v>
      </c>
      <c r="E27" s="26" t="s">
        <v>125</v>
      </c>
    </row>
    <row r="28" spans="1:5" ht="409.6">
      <c r="A28" s="12">
        <v>46</v>
      </c>
      <c r="B28" s="153" t="s">
        <v>126</v>
      </c>
      <c r="C28" s="19" t="s">
        <v>127</v>
      </c>
      <c r="D28" s="49" t="s">
        <v>128</v>
      </c>
      <c r="E28" s="15" t="s">
        <v>129</v>
      </c>
    </row>
    <row r="29" spans="1:5" ht="409.6">
      <c r="A29" s="12">
        <v>48</v>
      </c>
      <c r="B29" s="14" t="s">
        <v>130</v>
      </c>
      <c r="C29" s="15" t="s">
        <v>131</v>
      </c>
      <c r="D29" s="18" t="s">
        <v>132</v>
      </c>
      <c r="E29" s="15" t="s">
        <v>133</v>
      </c>
    </row>
    <row r="30" spans="1:5" ht="409.6">
      <c r="A30" s="12">
        <v>18</v>
      </c>
      <c r="B30" s="24" t="s">
        <v>134</v>
      </c>
      <c r="C30" s="55" t="s">
        <v>135</v>
      </c>
      <c r="D30" s="56" t="s">
        <v>136</v>
      </c>
      <c r="E30" s="15" t="s">
        <v>137</v>
      </c>
    </row>
    <row r="31" spans="1:5" ht="409.6">
      <c r="A31" s="12">
        <v>29</v>
      </c>
      <c r="B31" s="14" t="s">
        <v>138</v>
      </c>
      <c r="C31" s="15" t="s">
        <v>139</v>
      </c>
      <c r="D31" s="15" t="s">
        <v>140</v>
      </c>
      <c r="E31" s="15" t="s">
        <v>141</v>
      </c>
    </row>
    <row r="32" spans="1:5" ht="409.6">
      <c r="A32" s="12">
        <v>30</v>
      </c>
      <c r="B32" s="14" t="s">
        <v>142</v>
      </c>
      <c r="C32" s="15" t="s">
        <v>143</v>
      </c>
      <c r="D32" s="18" t="s">
        <v>144</v>
      </c>
      <c r="E32" s="15" t="s">
        <v>145</v>
      </c>
    </row>
    <row r="33" spans="1:5" ht="39.6">
      <c r="A33" s="12">
        <v>38</v>
      </c>
      <c r="B33" s="13" t="s">
        <v>146</v>
      </c>
      <c r="C33" s="59"/>
      <c r="D33" s="59"/>
      <c r="E33" s="15"/>
    </row>
    <row r="34" spans="1:5" ht="409.6">
      <c r="A34" s="12">
        <v>41</v>
      </c>
      <c r="B34" s="14" t="s">
        <v>147</v>
      </c>
      <c r="C34" s="60" t="s">
        <v>148</v>
      </c>
      <c r="D34" s="51" t="s">
        <v>149</v>
      </c>
      <c r="E34" s="17" t="s">
        <v>150</v>
      </c>
    </row>
    <row r="35" spans="1:5" ht="409.6">
      <c r="A35" s="12">
        <v>42</v>
      </c>
      <c r="B35" s="14" t="s">
        <v>151</v>
      </c>
      <c r="C35" s="15" t="s">
        <v>152</v>
      </c>
      <c r="D35" s="61" t="s">
        <v>153</v>
      </c>
      <c r="E35" s="15" t="s">
        <v>154</v>
      </c>
    </row>
    <row r="36" spans="1:5" ht="409.6">
      <c r="A36" s="12">
        <v>44</v>
      </c>
      <c r="B36" s="14" t="s">
        <v>155</v>
      </c>
      <c r="C36" s="15" t="s">
        <v>156</v>
      </c>
      <c r="D36" s="18" t="s">
        <v>157</v>
      </c>
      <c r="E36" s="62" t="s">
        <v>158</v>
      </c>
    </row>
    <row r="37" spans="1:5" ht="409.6">
      <c r="A37" s="12">
        <v>45</v>
      </c>
      <c r="B37" s="14" t="s">
        <v>159</v>
      </c>
      <c r="C37" s="15" t="s">
        <v>160</v>
      </c>
      <c r="D37" s="18" t="s">
        <v>161</v>
      </c>
      <c r="E37" s="63" t="s">
        <v>162</v>
      </c>
    </row>
    <row r="38" spans="1:5" ht="237.6">
      <c r="A38" s="12">
        <v>47</v>
      </c>
      <c r="B38" s="14" t="s">
        <v>163</v>
      </c>
      <c r="C38" s="15" t="s">
        <v>164</v>
      </c>
      <c r="D38" s="18" t="s">
        <v>165</v>
      </c>
      <c r="E38" s="15" t="s">
        <v>166</v>
      </c>
    </row>
    <row r="39" spans="1:5" ht="409.6">
      <c r="A39" s="12">
        <v>2</v>
      </c>
      <c r="B39" s="13" t="s">
        <v>167</v>
      </c>
      <c r="C39" s="15" t="s">
        <v>168</v>
      </c>
      <c r="D39" s="18" t="s">
        <v>169</v>
      </c>
      <c r="E39" s="15" t="s">
        <v>170</v>
      </c>
    </row>
    <row r="40" spans="1:5" ht="26.4">
      <c r="A40" s="12">
        <v>3</v>
      </c>
      <c r="B40" s="14" t="s">
        <v>171</v>
      </c>
      <c r="C40" s="15"/>
      <c r="D40" s="15"/>
      <c r="E40" s="15"/>
    </row>
    <row r="41" spans="1:5" ht="26.4">
      <c r="A41" s="12">
        <v>4</v>
      </c>
      <c r="B41" s="14" t="s">
        <v>172</v>
      </c>
      <c r="C41" s="26"/>
      <c r="D41" s="15"/>
      <c r="E41" s="26"/>
    </row>
    <row r="42" spans="1:5" ht="409.6">
      <c r="A42" s="12">
        <v>5</v>
      </c>
      <c r="B42" s="14" t="s">
        <v>173</v>
      </c>
      <c r="C42" s="15" t="s">
        <v>174</v>
      </c>
      <c r="D42" s="65" t="s">
        <v>175</v>
      </c>
      <c r="E42" s="65" t="s">
        <v>176</v>
      </c>
    </row>
    <row r="43" spans="1:5" ht="171.6">
      <c r="A43" s="12">
        <v>6</v>
      </c>
      <c r="B43" s="14" t="s">
        <v>177</v>
      </c>
      <c r="C43" s="15" t="s">
        <v>178</v>
      </c>
      <c r="D43" s="18" t="s">
        <v>179</v>
      </c>
      <c r="E43" s="15" t="s">
        <v>180</v>
      </c>
    </row>
    <row r="44" spans="1:5" ht="39.6">
      <c r="A44" s="12">
        <v>31</v>
      </c>
      <c r="B44" s="14" t="s">
        <v>181</v>
      </c>
      <c r="C44" s="15"/>
      <c r="D44" s="15"/>
      <c r="E44" s="15"/>
    </row>
    <row r="45" spans="1:5">
      <c r="A45" s="12">
        <v>34</v>
      </c>
      <c r="B45" s="14" t="s">
        <v>182</v>
      </c>
      <c r="C45" s="15"/>
      <c r="D45" s="15"/>
      <c r="E45" s="15"/>
    </row>
    <row r="46" spans="1:5" ht="409.6">
      <c r="A46" s="12">
        <v>39</v>
      </c>
      <c r="B46" s="14" t="s">
        <v>183</v>
      </c>
      <c r="C46" s="15" t="s">
        <v>184</v>
      </c>
      <c r="D46" s="18" t="s">
        <v>185</v>
      </c>
      <c r="E46" s="64" t="s">
        <v>186</v>
      </c>
    </row>
    <row r="47" spans="1:5" ht="409.6">
      <c r="A47" s="12">
        <v>43</v>
      </c>
      <c r="B47" s="14" t="s">
        <v>187</v>
      </c>
      <c r="C47" s="28" t="s">
        <v>188</v>
      </c>
      <c r="D47" s="52" t="s">
        <v>189</v>
      </c>
      <c r="E47" s="15" t="s">
        <v>190</v>
      </c>
    </row>
    <row r="48" spans="1:5" ht="409.6">
      <c r="A48" s="12">
        <v>49</v>
      </c>
      <c r="B48" s="14" t="s">
        <v>191</v>
      </c>
      <c r="C48" s="15" t="s">
        <v>192</v>
      </c>
      <c r="D48" s="18" t="s">
        <v>193</v>
      </c>
      <c r="E48" s="15" t="s">
        <v>194</v>
      </c>
    </row>
    <row r="49" spans="1:5" ht="26.4">
      <c r="A49" s="12">
        <v>7</v>
      </c>
      <c r="B49" s="14" t="s">
        <v>195</v>
      </c>
      <c r="C49" s="19"/>
      <c r="D49" s="15"/>
      <c r="E49" s="15"/>
    </row>
    <row r="50" spans="1:5" ht="409.6">
      <c r="A50" s="12">
        <v>14</v>
      </c>
      <c r="B50" s="24" t="s">
        <v>196</v>
      </c>
      <c r="C50" s="15" t="s">
        <v>197</v>
      </c>
      <c r="D50" s="18" t="s">
        <v>198</v>
      </c>
      <c r="E50" s="33" t="s">
        <v>199</v>
      </c>
    </row>
    <row r="51" spans="1:5" ht="26.4">
      <c r="A51" s="68">
        <v>50</v>
      </c>
      <c r="B51" s="53" t="s">
        <v>200</v>
      </c>
      <c r="C51" s="16"/>
      <c r="D51" s="16"/>
      <c r="E51" s="16"/>
    </row>
  </sheetData>
  <hyperlinks>
    <hyperlink ref="D50" r:id="rId1" xr:uid="{19020DCF-C3EB-418A-B889-A6BF85B74EB6}"/>
    <hyperlink ref="D48" r:id="rId2" xr:uid="{482CA714-01C0-4259-9531-19F16F38EE08}"/>
    <hyperlink ref="D47" r:id="rId3" xr:uid="{3A48F1FC-F36C-4A44-BF97-067C67575FD9}"/>
    <hyperlink ref="E46" r:id="rId4" xr:uid="{38B734B6-ECBD-47B7-AAFB-3186846E67D8}"/>
    <hyperlink ref="D46" r:id="rId5" xr:uid="{C30559C2-E72F-4AF3-81A4-1FE09350BF38}"/>
    <hyperlink ref="D43" r:id="rId6" xr:uid="{23D6FAA0-9C4A-4F67-9B18-332A1F2D2BB4}"/>
    <hyperlink ref="D39" r:id="rId7" xr:uid="{D1EC5439-C0B7-4C4C-A7DD-8BC0933EFFC4}"/>
    <hyperlink ref="D38" r:id="rId8" xr:uid="{00E1CEB0-5F79-422C-95C3-68F57403477C}"/>
    <hyperlink ref="D37" r:id="rId9" xr:uid="{3B060DF7-1A58-41A1-8325-9DC6B4C06077}"/>
    <hyperlink ref="D36" r:id="rId10" xr:uid="{2E245FF2-7405-46D8-B0A0-3148F8903F6A}"/>
    <hyperlink ref="D35" r:id="rId11" xr:uid="{B0649563-D8C9-4A83-B78F-BB868C49709C}"/>
    <hyperlink ref="D34" r:id="rId12" xr:uid="{5BB8876E-0AF3-4785-80B1-9815650CC3AD}"/>
    <hyperlink ref="D32" r:id="rId13" xr:uid="{DA591BA0-81B7-4287-9444-8171F79B0C8E}"/>
    <hyperlink ref="D30" r:id="rId14" xr:uid="{9CAB9445-579F-433D-8A52-B920FA01A3C1}"/>
    <hyperlink ref="D29" r:id="rId15" xr:uid="{75D7C004-2786-4145-8569-7849A87B8DA7}"/>
    <hyperlink ref="D28" r:id="rId16" xr:uid="{0712D087-BEA7-4DA2-BEC4-C83C8E06047B}"/>
    <hyperlink ref="D27" r:id="rId17" xr:uid="{5E706F9A-1A08-49A0-B203-C35D009E6041}"/>
    <hyperlink ref="D26" r:id="rId18" xr:uid="{60E0C873-FBA2-406A-BD41-8E48379242BD}"/>
    <hyperlink ref="D25" r:id="rId19" xr:uid="{50BEE53B-F9A9-422F-93E3-F459368B12AE}"/>
    <hyperlink ref="D24" r:id="rId20" xr:uid="{E070330C-498D-4A9D-A565-AFCFFC85962D}"/>
    <hyperlink ref="C24" r:id="rId21" xr:uid="{B1FAB019-9787-4EEF-891E-BCF26445205A}"/>
    <hyperlink ref="D23" r:id="rId22" xr:uid="{DF9991FF-601C-4FD4-B72A-3A8F442D99B9}"/>
    <hyperlink ref="D22" r:id="rId23" xr:uid="{10F6EA43-1F44-4DBC-81DE-438C66ECC80C}"/>
    <hyperlink ref="D21" r:id="rId24" xr:uid="{ED823A9E-BCB0-4B01-AF29-F984B1D048DC}"/>
    <hyperlink ref="D20" r:id="rId25" xr:uid="{6D020ED7-73A4-491D-951D-D15E7C312D14}"/>
    <hyperlink ref="D19" r:id="rId26" xr:uid="{0C254EEA-4B31-4265-9EC2-4EC97EFB1030}"/>
    <hyperlink ref="D18" r:id="rId27" xr:uid="{7080D666-B06C-4217-B041-7E38F302614D}"/>
    <hyperlink ref="D17" r:id="rId28" xr:uid="{ED2A8540-8437-4E3A-B87B-EE9BC91227D1}"/>
    <hyperlink ref="D16" r:id="rId29" xr:uid="{7DE3AA70-784A-47F9-8717-3F32B0FD5EB9}"/>
    <hyperlink ref="D15" r:id="rId30" xr:uid="{BA45DFBD-F515-449D-81F7-E55D77ECDD0B}"/>
    <hyperlink ref="D14" r:id="rId31" xr:uid="{369558AF-0361-480C-992C-268FAC2E120D}"/>
    <hyperlink ref="D13" r:id="rId32" xr:uid="{3B57377F-729F-4045-B92C-E2FB34693A1F}"/>
    <hyperlink ref="D12" r:id="rId33" xr:uid="{677A47A6-C0FE-4B11-AEE6-25BE2F01E99D}"/>
    <hyperlink ref="D11" r:id="rId34" xr:uid="{625C0288-549C-4A00-AB13-FA5077C7B6E9}"/>
    <hyperlink ref="D10" r:id="rId35" xr:uid="{6319A674-1AC3-4607-AB60-2ABDA9C29D34}"/>
    <hyperlink ref="D9" r:id="rId36" xr:uid="{6325B241-2323-4222-A1C8-71A60F15176E}"/>
    <hyperlink ref="D8" r:id="rId37" xr:uid="{67A66969-DB4F-4812-882F-22DCC06D6F87}"/>
    <hyperlink ref="D7" r:id="rId38" xr:uid="{857DBEEB-FED3-45C6-BFDE-808B240BD8C2}"/>
    <hyperlink ref="D6" r:id="rId39" xr:uid="{1D6B5A39-6327-4900-A13E-AE1F3C31CC89}"/>
    <hyperlink ref="D5" r:id="rId40" xr:uid="{735D4EE8-3563-44B5-BA5E-34A7287DD453}"/>
    <hyperlink ref="D4" r:id="rId41" xr:uid="{23ACBA2B-9C06-4A6B-93D4-9A4D3899C347}"/>
    <hyperlink ref="C4" r:id="rId42" xr:uid="{96413559-30AF-4CD1-8427-49506B447B7E}"/>
    <hyperlink ref="D3" r:id="rId43" xr:uid="{C755CC6A-E326-4133-AD12-90C1F72CE84A}"/>
    <hyperlink ref="D2" r:id="rId44" xr:uid="{4D8D2C10-ED4F-445B-8CAB-9E6EF0D85B4A}"/>
    <hyperlink ref="C2" r:id="rId45" xr:uid="{65586105-468B-4C83-8392-A1DE9C7E348D}"/>
  </hyperlinks>
  <pageMargins left="0.7" right="0.7" top="0.75" bottom="0.75" header="0.3" footer="0.3"/>
  <drawing r:id="rId46"/>
  <tableParts count="1">
    <tablePart r:id="rId4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C802-7827-4C83-AF8F-95A42D80EB44}">
  <dimension ref="A1:F50"/>
  <sheetViews>
    <sheetView tabSelected="1" topLeftCell="A50" workbookViewId="0">
      <selection activeCell="E54" sqref="E54"/>
    </sheetView>
  </sheetViews>
  <sheetFormatPr defaultRowHeight="13.2"/>
  <cols>
    <col min="1" max="1" width="10.109375" customWidth="1"/>
    <col min="2" max="2" width="16.21875" customWidth="1"/>
    <col min="3" max="3" width="11.33203125" customWidth="1"/>
    <col min="4" max="4" width="9.5546875" customWidth="1"/>
    <col min="5" max="5" width="27.5546875" customWidth="1"/>
    <col min="6" max="6" width="38.21875" customWidth="1"/>
  </cols>
  <sheetData>
    <row r="1" spans="1:6">
      <c r="A1" t="s">
        <v>899</v>
      </c>
      <c r="B1" t="s">
        <v>900</v>
      </c>
      <c r="C1" t="s">
        <v>895</v>
      </c>
      <c r="D1" t="s">
        <v>896</v>
      </c>
      <c r="E1" t="s">
        <v>897</v>
      </c>
      <c r="F1" s="157" t="s">
        <v>3</v>
      </c>
    </row>
    <row r="2" spans="1:6" ht="316.8">
      <c r="A2">
        <v>1</v>
      </c>
      <c r="B2" t="s">
        <v>20</v>
      </c>
      <c r="C2" t="s">
        <v>21</v>
      </c>
      <c r="D2" t="s">
        <v>22</v>
      </c>
      <c r="E2" s="156" t="s">
        <v>901</v>
      </c>
      <c r="F2" s="157" t="s">
        <v>920</v>
      </c>
    </row>
    <row r="3" spans="1:6" ht="330">
      <c r="A3">
        <v>2</v>
      </c>
      <c r="B3" t="s">
        <v>167</v>
      </c>
      <c r="C3" t="s">
        <v>168</v>
      </c>
      <c r="D3" t="s">
        <v>169</v>
      </c>
      <c r="E3" s="156" t="s">
        <v>170</v>
      </c>
      <c r="F3" s="157" t="s">
        <v>920</v>
      </c>
    </row>
    <row r="4" spans="1:6">
      <c r="A4">
        <v>3</v>
      </c>
      <c r="B4" t="s">
        <v>171</v>
      </c>
      <c r="E4" s="156"/>
      <c r="F4" s="157" t="s">
        <v>898</v>
      </c>
    </row>
    <row r="5" spans="1:6">
      <c r="A5">
        <v>4</v>
      </c>
      <c r="B5" t="s">
        <v>172</v>
      </c>
      <c r="E5" s="156"/>
      <c r="F5" s="157" t="s">
        <v>921</v>
      </c>
    </row>
    <row r="6" spans="1:6" ht="409.6">
      <c r="A6">
        <v>5</v>
      </c>
      <c r="B6" t="s">
        <v>173</v>
      </c>
      <c r="C6" t="s">
        <v>174</v>
      </c>
      <c r="D6" t="s">
        <v>175</v>
      </c>
      <c r="E6" s="156" t="s">
        <v>915</v>
      </c>
      <c r="F6" s="157" t="s">
        <v>920</v>
      </c>
    </row>
    <row r="7" spans="1:6" ht="52.8">
      <c r="A7">
        <v>6</v>
      </c>
      <c r="B7" t="s">
        <v>177</v>
      </c>
      <c r="C7" t="s">
        <v>178</v>
      </c>
      <c r="D7" t="s">
        <v>179</v>
      </c>
      <c r="E7" s="156" t="s">
        <v>180</v>
      </c>
      <c r="F7" s="157" t="s">
        <v>516</v>
      </c>
    </row>
    <row r="8" spans="1:6">
      <c r="A8">
        <v>7</v>
      </c>
      <c r="B8" t="s">
        <v>195</v>
      </c>
      <c r="E8" s="156"/>
      <c r="F8" s="157" t="s">
        <v>898</v>
      </c>
    </row>
    <row r="9" spans="1:6" ht="184.8">
      <c r="A9">
        <v>8</v>
      </c>
      <c r="B9" t="s">
        <v>98</v>
      </c>
      <c r="C9" t="s">
        <v>99</v>
      </c>
      <c r="D9" t="s">
        <v>100</v>
      </c>
      <c r="E9" s="156" t="s">
        <v>101</v>
      </c>
      <c r="F9" s="157" t="s">
        <v>920</v>
      </c>
    </row>
    <row r="10" spans="1:6" ht="105.6">
      <c r="A10">
        <v>9</v>
      </c>
      <c r="B10" t="s">
        <v>62</v>
      </c>
      <c r="C10" t="s">
        <v>63</v>
      </c>
      <c r="D10" t="s">
        <v>64</v>
      </c>
      <c r="E10" s="156" t="s">
        <v>65</v>
      </c>
      <c r="F10" s="157" t="s">
        <v>898</v>
      </c>
    </row>
    <row r="11" spans="1:6" ht="158.4">
      <c r="A11">
        <v>10</v>
      </c>
      <c r="B11" t="s">
        <v>66</v>
      </c>
      <c r="C11" t="s">
        <v>909</v>
      </c>
      <c r="D11" t="s">
        <v>68</v>
      </c>
      <c r="E11" s="156" t="s">
        <v>69</v>
      </c>
      <c r="F11" s="157" t="s">
        <v>923</v>
      </c>
    </row>
    <row r="12" spans="1:6" ht="316.8">
      <c r="A12">
        <v>11</v>
      </c>
      <c r="B12" t="s">
        <v>102</v>
      </c>
      <c r="C12" t="s">
        <v>913</v>
      </c>
      <c r="D12" t="s">
        <v>104</v>
      </c>
      <c r="E12" s="156" t="s">
        <v>105</v>
      </c>
      <c r="F12" s="157" t="s">
        <v>516</v>
      </c>
    </row>
    <row r="13" spans="1:6" ht="303.60000000000002">
      <c r="A13">
        <v>12</v>
      </c>
      <c r="B13" t="s">
        <v>70</v>
      </c>
      <c r="C13" t="s">
        <v>71</v>
      </c>
      <c r="D13" t="s">
        <v>72</v>
      </c>
      <c r="E13" s="156" t="s">
        <v>73</v>
      </c>
      <c r="F13" s="157" t="s">
        <v>924</v>
      </c>
    </row>
    <row r="14" spans="1:6" ht="237.6">
      <c r="A14">
        <v>13</v>
      </c>
      <c r="B14" t="s">
        <v>75</v>
      </c>
      <c r="C14" t="s">
        <v>76</v>
      </c>
      <c r="D14" t="s">
        <v>77</v>
      </c>
      <c r="E14" s="156" t="s">
        <v>78</v>
      </c>
      <c r="F14" s="157" t="s">
        <v>920</v>
      </c>
    </row>
    <row r="15" spans="1:6" ht="356.4">
      <c r="A15">
        <v>14</v>
      </c>
      <c r="B15" t="s">
        <v>196</v>
      </c>
      <c r="C15" t="s">
        <v>197</v>
      </c>
      <c r="D15" t="s">
        <v>198</v>
      </c>
      <c r="E15" s="156" t="s">
        <v>199</v>
      </c>
      <c r="F15" s="157" t="s">
        <v>922</v>
      </c>
    </row>
    <row r="16" spans="1:6" ht="132">
      <c r="A16">
        <v>15</v>
      </c>
      <c r="B16" t="s">
        <v>79</v>
      </c>
      <c r="C16" t="s">
        <v>80</v>
      </c>
      <c r="D16" t="s">
        <v>910</v>
      </c>
      <c r="E16" s="156" t="s">
        <v>82</v>
      </c>
      <c r="F16" s="157" t="s">
        <v>921</v>
      </c>
    </row>
    <row r="17" spans="1:6" ht="39.6">
      <c r="A17">
        <v>16</v>
      </c>
      <c r="B17" t="s">
        <v>25</v>
      </c>
      <c r="C17" t="s">
        <v>26</v>
      </c>
      <c r="D17" t="s">
        <v>902</v>
      </c>
      <c r="E17" s="156" t="s">
        <v>28</v>
      </c>
      <c r="F17" s="157" t="s">
        <v>898</v>
      </c>
    </row>
    <row r="18" spans="1:6" ht="290.39999999999998">
      <c r="A18">
        <v>17</v>
      </c>
      <c r="B18" t="s">
        <v>83</v>
      </c>
      <c r="C18" t="s">
        <v>84</v>
      </c>
      <c r="D18" t="s">
        <v>85</v>
      </c>
      <c r="E18" s="156" t="s">
        <v>86</v>
      </c>
      <c r="F18" s="157" t="s">
        <v>898</v>
      </c>
    </row>
    <row r="19" spans="1:6" ht="409.2">
      <c r="A19">
        <v>18</v>
      </c>
      <c r="B19" t="s">
        <v>134</v>
      </c>
      <c r="C19" t="s">
        <v>135</v>
      </c>
      <c r="D19" t="s">
        <v>136</v>
      </c>
      <c r="E19" s="156" t="s">
        <v>137</v>
      </c>
      <c r="F19" s="157" t="s">
        <v>898</v>
      </c>
    </row>
    <row r="20" spans="1:6" ht="224.4">
      <c r="A20">
        <v>19</v>
      </c>
      <c r="B20" t="s">
        <v>87</v>
      </c>
      <c r="C20" t="s">
        <v>88</v>
      </c>
      <c r="D20" t="s">
        <v>89</v>
      </c>
      <c r="E20" s="156" t="s">
        <v>90</v>
      </c>
      <c r="F20" s="157" t="s">
        <v>920</v>
      </c>
    </row>
    <row r="21" spans="1:6" ht="356.4">
      <c r="A21">
        <v>20</v>
      </c>
      <c r="B21" t="s">
        <v>29</v>
      </c>
      <c r="C21" t="s">
        <v>30</v>
      </c>
      <c r="D21" t="s">
        <v>31</v>
      </c>
      <c r="E21" s="156" t="s">
        <v>32</v>
      </c>
      <c r="F21" s="157" t="s">
        <v>922</v>
      </c>
    </row>
    <row r="22" spans="1:6" ht="409.6">
      <c r="A22">
        <v>21</v>
      </c>
      <c r="B22" t="s">
        <v>33</v>
      </c>
      <c r="C22" t="s">
        <v>34</v>
      </c>
      <c r="D22" t="s">
        <v>903</v>
      </c>
      <c r="E22" s="156" t="s">
        <v>36</v>
      </c>
      <c r="F22" s="157" t="s">
        <v>922</v>
      </c>
    </row>
    <row r="23" spans="1:6" ht="264">
      <c r="A23">
        <v>22</v>
      </c>
      <c r="B23" t="s">
        <v>37</v>
      </c>
      <c r="C23" t="s">
        <v>38</v>
      </c>
      <c r="D23" t="s">
        <v>904</v>
      </c>
      <c r="E23" s="156" t="s">
        <v>40</v>
      </c>
      <c r="F23" s="157" t="s">
        <v>923</v>
      </c>
    </row>
    <row r="24" spans="1:6" ht="224.4">
      <c r="A24">
        <v>23</v>
      </c>
      <c r="B24" t="s">
        <v>41</v>
      </c>
      <c r="C24" t="s">
        <v>42</v>
      </c>
      <c r="D24" t="s">
        <v>43</v>
      </c>
      <c r="E24" s="156" t="s">
        <v>44</v>
      </c>
      <c r="F24" s="157" t="s">
        <v>516</v>
      </c>
    </row>
    <row r="25" spans="1:6" ht="303.60000000000002">
      <c r="A25">
        <v>24</v>
      </c>
      <c r="B25" t="s">
        <v>46</v>
      </c>
      <c r="C25" t="s">
        <v>47</v>
      </c>
      <c r="D25" t="s">
        <v>905</v>
      </c>
      <c r="E25" s="156" t="s">
        <v>49</v>
      </c>
      <c r="F25" s="157" t="s">
        <v>923</v>
      </c>
    </row>
    <row r="26" spans="1:6" ht="79.2">
      <c r="A26">
        <v>25</v>
      </c>
      <c r="B26" t="s">
        <v>50</v>
      </c>
      <c r="C26" t="s">
        <v>51</v>
      </c>
      <c r="D26" t="s">
        <v>906</v>
      </c>
      <c r="E26" s="156" t="s">
        <v>53</v>
      </c>
      <c r="F26" s="157" t="s">
        <v>922</v>
      </c>
    </row>
    <row r="27" spans="1:6" ht="409.2">
      <c r="A27">
        <v>26</v>
      </c>
      <c r="B27" t="s">
        <v>54</v>
      </c>
      <c r="C27" t="s">
        <v>55</v>
      </c>
      <c r="D27" t="s">
        <v>907</v>
      </c>
      <c r="E27" s="156" t="s">
        <v>57</v>
      </c>
      <c r="F27" s="157" t="s">
        <v>516</v>
      </c>
    </row>
    <row r="28" spans="1:6" ht="132">
      <c r="A28">
        <v>27</v>
      </c>
      <c r="B28" t="s">
        <v>106</v>
      </c>
      <c r="C28" t="s">
        <v>107</v>
      </c>
      <c r="D28" t="s">
        <v>108</v>
      </c>
      <c r="E28" s="156" t="s">
        <v>109</v>
      </c>
      <c r="F28" s="157" t="s">
        <v>923</v>
      </c>
    </row>
    <row r="29" spans="1:6" ht="39.6">
      <c r="A29">
        <v>28</v>
      </c>
      <c r="B29" t="s">
        <v>110</v>
      </c>
      <c r="C29" t="s">
        <v>111</v>
      </c>
      <c r="D29" t="s">
        <v>112</v>
      </c>
      <c r="E29" s="156" t="s">
        <v>113</v>
      </c>
      <c r="F29" s="157" t="s">
        <v>922</v>
      </c>
    </row>
    <row r="30" spans="1:6" ht="118.8">
      <c r="A30">
        <v>29</v>
      </c>
      <c r="B30" t="s">
        <v>138</v>
      </c>
      <c r="C30" t="s">
        <v>139</v>
      </c>
      <c r="D30" t="s">
        <v>140</v>
      </c>
      <c r="E30" s="156" t="s">
        <v>141</v>
      </c>
      <c r="F30" s="157" t="s">
        <v>922</v>
      </c>
    </row>
    <row r="31" spans="1:6" ht="264">
      <c r="A31">
        <v>30</v>
      </c>
      <c r="B31" t="s">
        <v>142</v>
      </c>
      <c r="C31" t="s">
        <v>143</v>
      </c>
      <c r="D31" t="s">
        <v>144</v>
      </c>
      <c r="E31" s="156" t="s">
        <v>914</v>
      </c>
      <c r="F31" s="157" t="s">
        <v>920</v>
      </c>
    </row>
    <row r="32" spans="1:6">
      <c r="A32">
        <v>31</v>
      </c>
      <c r="B32" t="s">
        <v>181</v>
      </c>
      <c r="E32" s="156"/>
      <c r="F32" s="157" t="s">
        <v>516</v>
      </c>
    </row>
    <row r="33" spans="1:6" ht="409.6">
      <c r="A33">
        <v>32</v>
      </c>
      <c r="B33" t="s">
        <v>91</v>
      </c>
      <c r="D33" t="s">
        <v>911</v>
      </c>
      <c r="E33" s="156" t="s">
        <v>912</v>
      </c>
      <c r="F33" s="157" t="s">
        <v>922</v>
      </c>
    </row>
    <row r="34" spans="1:6" ht="303.60000000000002">
      <c r="A34">
        <v>33</v>
      </c>
      <c r="B34" t="s">
        <v>58</v>
      </c>
      <c r="C34" t="s">
        <v>59</v>
      </c>
      <c r="D34" t="s">
        <v>908</v>
      </c>
      <c r="E34" s="156" t="s">
        <v>61</v>
      </c>
      <c r="F34" s="157" t="s">
        <v>923</v>
      </c>
    </row>
    <row r="35" spans="1:6">
      <c r="A35">
        <v>34</v>
      </c>
      <c r="B35" t="s">
        <v>182</v>
      </c>
      <c r="E35" s="156"/>
      <c r="F35" s="157" t="s">
        <v>516</v>
      </c>
    </row>
    <row r="36" spans="1:6" ht="250.8">
      <c r="A36">
        <v>35</v>
      </c>
      <c r="B36" t="s">
        <v>94</v>
      </c>
      <c r="C36" t="s">
        <v>95</v>
      </c>
      <c r="D36" t="s">
        <v>96</v>
      </c>
      <c r="E36" s="156" t="s">
        <v>97</v>
      </c>
      <c r="F36" s="157" t="s">
        <v>920</v>
      </c>
    </row>
    <row r="37" spans="1:6" ht="198">
      <c r="A37">
        <v>36</v>
      </c>
      <c r="B37" t="s">
        <v>114</v>
      </c>
      <c r="C37" t="s">
        <v>115</v>
      </c>
      <c r="D37" t="s">
        <v>116</v>
      </c>
      <c r="E37" s="156" t="s">
        <v>117</v>
      </c>
      <c r="F37" s="157" t="s">
        <v>922</v>
      </c>
    </row>
    <row r="38" spans="1:6" ht="409.6">
      <c r="A38">
        <v>37</v>
      </c>
      <c r="B38" t="s">
        <v>118</v>
      </c>
      <c r="C38" t="s">
        <v>119</v>
      </c>
      <c r="D38" t="s">
        <v>120</v>
      </c>
      <c r="E38" s="156" t="s">
        <v>121</v>
      </c>
      <c r="F38" s="157" t="s">
        <v>898</v>
      </c>
    </row>
    <row r="39" spans="1:6">
      <c r="A39">
        <v>38</v>
      </c>
      <c r="B39" t="s">
        <v>146</v>
      </c>
      <c r="E39" s="156"/>
      <c r="F39" s="157" t="s">
        <v>516</v>
      </c>
    </row>
    <row r="40" spans="1:6" ht="409.2">
      <c r="A40">
        <v>39</v>
      </c>
      <c r="B40" t="s">
        <v>183</v>
      </c>
      <c r="C40" t="s">
        <v>184</v>
      </c>
      <c r="D40" t="s">
        <v>916</v>
      </c>
      <c r="E40" s="156" t="s">
        <v>917</v>
      </c>
      <c r="F40" s="157" t="s">
        <v>516</v>
      </c>
    </row>
    <row r="41" spans="1:6" ht="118.8">
      <c r="A41">
        <v>40</v>
      </c>
      <c r="B41" t="s">
        <v>122</v>
      </c>
      <c r="C41" t="s">
        <v>123</v>
      </c>
      <c r="D41" t="s">
        <v>124</v>
      </c>
      <c r="E41" s="156" t="s">
        <v>125</v>
      </c>
      <c r="F41" s="157" t="s">
        <v>923</v>
      </c>
    </row>
    <row r="42" spans="1:6" ht="356.4">
      <c r="A42">
        <v>41</v>
      </c>
      <c r="B42" t="s">
        <v>147</v>
      </c>
      <c r="C42" t="s">
        <v>148</v>
      </c>
      <c r="D42" t="s">
        <v>149</v>
      </c>
      <c r="E42" s="156" t="s">
        <v>150</v>
      </c>
      <c r="F42" s="157" t="s">
        <v>921</v>
      </c>
    </row>
    <row r="43" spans="1:6" ht="145.19999999999999">
      <c r="A43">
        <v>42</v>
      </c>
      <c r="B43" t="s">
        <v>151</v>
      </c>
      <c r="C43" t="s">
        <v>152</v>
      </c>
      <c r="D43" t="s">
        <v>153</v>
      </c>
      <c r="E43" s="156" t="s">
        <v>154</v>
      </c>
      <c r="F43" s="157" t="s">
        <v>921</v>
      </c>
    </row>
    <row r="44" spans="1:6" ht="198">
      <c r="A44">
        <v>43</v>
      </c>
      <c r="B44" t="s">
        <v>187</v>
      </c>
      <c r="C44" t="s">
        <v>188</v>
      </c>
      <c r="D44" t="s">
        <v>918</v>
      </c>
      <c r="E44" s="156" t="s">
        <v>190</v>
      </c>
      <c r="F44" s="157" t="s">
        <v>516</v>
      </c>
    </row>
    <row r="45" spans="1:6" ht="356.4">
      <c r="A45">
        <v>44</v>
      </c>
      <c r="B45" t="s">
        <v>155</v>
      </c>
      <c r="C45" t="s">
        <v>156</v>
      </c>
      <c r="D45" t="s">
        <v>157</v>
      </c>
      <c r="E45" s="156" t="s">
        <v>158</v>
      </c>
      <c r="F45" s="157" t="s">
        <v>921</v>
      </c>
    </row>
    <row r="46" spans="1:6" ht="264">
      <c r="A46">
        <v>45</v>
      </c>
      <c r="B46" t="s">
        <v>159</v>
      </c>
      <c r="C46" t="s">
        <v>160</v>
      </c>
      <c r="D46" t="s">
        <v>161</v>
      </c>
      <c r="E46" s="156" t="s">
        <v>162</v>
      </c>
      <c r="F46" s="157" t="s">
        <v>921</v>
      </c>
    </row>
    <row r="47" spans="1:6" ht="290.39999999999998">
      <c r="A47">
        <v>46</v>
      </c>
      <c r="B47" t="s">
        <v>126</v>
      </c>
      <c r="C47" t="s">
        <v>127</v>
      </c>
      <c r="D47" t="s">
        <v>128</v>
      </c>
      <c r="E47" s="156" t="s">
        <v>129</v>
      </c>
      <c r="F47" s="157" t="s">
        <v>920</v>
      </c>
    </row>
    <row r="48" spans="1:6" ht="66">
      <c r="A48">
        <v>47</v>
      </c>
      <c r="B48" t="s">
        <v>163</v>
      </c>
      <c r="C48" t="s">
        <v>164</v>
      </c>
      <c r="D48" t="s">
        <v>165</v>
      </c>
      <c r="E48" s="156" t="s">
        <v>166</v>
      </c>
      <c r="F48" s="157" t="s">
        <v>898</v>
      </c>
    </row>
    <row r="49" spans="1:6" ht="396">
      <c r="A49">
        <v>48</v>
      </c>
      <c r="B49" t="s">
        <v>130</v>
      </c>
      <c r="C49" t="s">
        <v>131</v>
      </c>
      <c r="D49" t="s">
        <v>132</v>
      </c>
      <c r="E49" s="156" t="s">
        <v>133</v>
      </c>
      <c r="F49" s="157" t="s">
        <v>920</v>
      </c>
    </row>
    <row r="50" spans="1:6" ht="184.8">
      <c r="A50">
        <v>49</v>
      </c>
      <c r="B50" t="s">
        <v>191</v>
      </c>
      <c r="C50" t="s">
        <v>192</v>
      </c>
      <c r="D50" t="s">
        <v>919</v>
      </c>
      <c r="E50" s="156" t="s">
        <v>194</v>
      </c>
      <c r="F50" s="157" t="s">
        <v>922</v>
      </c>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0"/>
  <sheetViews>
    <sheetView workbookViewId="0"/>
  </sheetViews>
  <sheetFormatPr defaultColWidth="12.6640625" defaultRowHeight="15.75" customHeight="1"/>
  <cols>
    <col min="1" max="1" width="5.6640625" customWidth="1"/>
    <col min="2" max="3" width="22.6640625" customWidth="1"/>
    <col min="4" max="4" width="6.33203125" customWidth="1"/>
    <col min="5" max="5" width="6.21875" customWidth="1"/>
    <col min="6" max="6" width="22.6640625" customWidth="1"/>
    <col min="7" max="7" width="24.77734375" customWidth="1"/>
    <col min="8" max="8" width="6.33203125" customWidth="1"/>
    <col min="9" max="9" width="5.44140625" customWidth="1"/>
    <col min="10" max="10" width="35.77734375" customWidth="1"/>
  </cols>
  <sheetData>
    <row r="1" spans="1:10" ht="15.75" customHeight="1">
      <c r="A1" s="69" t="s">
        <v>201</v>
      </c>
    </row>
    <row r="2" spans="1:10">
      <c r="A2" s="70"/>
    </row>
    <row r="3" spans="1:10">
      <c r="A3" s="71"/>
      <c r="B3" s="144" t="s">
        <v>202</v>
      </c>
      <c r="C3" s="141"/>
      <c r="E3" s="73"/>
      <c r="F3" s="144" t="s">
        <v>203</v>
      </c>
      <c r="G3" s="141"/>
      <c r="H3" s="74"/>
      <c r="I3" s="73"/>
      <c r="J3" s="72" t="s">
        <v>204</v>
      </c>
    </row>
    <row r="4" spans="1:10">
      <c r="A4" s="75" t="s">
        <v>205</v>
      </c>
      <c r="B4" s="76" t="s">
        <v>206</v>
      </c>
      <c r="C4" s="76" t="s">
        <v>207</v>
      </c>
      <c r="E4" s="77" t="s">
        <v>205</v>
      </c>
      <c r="F4" s="76" t="s">
        <v>206</v>
      </c>
      <c r="G4" s="76" t="s">
        <v>207</v>
      </c>
      <c r="I4" s="77" t="s">
        <v>205</v>
      </c>
      <c r="J4" s="76" t="s">
        <v>206</v>
      </c>
    </row>
    <row r="5" spans="1:10">
      <c r="A5" s="78">
        <v>1</v>
      </c>
      <c r="B5" s="79" t="s">
        <v>41</v>
      </c>
      <c r="C5" s="67" t="s">
        <v>208</v>
      </c>
      <c r="E5" s="78">
        <v>1</v>
      </c>
      <c r="F5" s="67" t="s">
        <v>102</v>
      </c>
      <c r="G5" s="67" t="s">
        <v>209</v>
      </c>
      <c r="I5" s="78">
        <v>1</v>
      </c>
      <c r="J5" s="67" t="s">
        <v>183</v>
      </c>
    </row>
    <row r="6" spans="1:10">
      <c r="A6" s="78">
        <v>2</v>
      </c>
      <c r="B6" s="79" t="s">
        <v>29</v>
      </c>
      <c r="C6" s="67" t="s">
        <v>210</v>
      </c>
      <c r="E6" s="78">
        <v>2</v>
      </c>
      <c r="F6" s="67" t="s">
        <v>118</v>
      </c>
      <c r="G6" s="67" t="s">
        <v>151</v>
      </c>
      <c r="I6" s="78">
        <v>2</v>
      </c>
      <c r="J6" s="67" t="s">
        <v>171</v>
      </c>
    </row>
    <row r="7" spans="1:10">
      <c r="A7" s="78">
        <v>3</v>
      </c>
      <c r="B7" s="79" t="s">
        <v>20</v>
      </c>
      <c r="C7" s="67" t="s">
        <v>87</v>
      </c>
      <c r="E7" s="78">
        <v>3</v>
      </c>
      <c r="F7" s="67" t="s">
        <v>211</v>
      </c>
      <c r="G7" s="67" t="s">
        <v>147</v>
      </c>
      <c r="I7" s="78">
        <v>3</v>
      </c>
      <c r="J7" s="67" t="s">
        <v>212</v>
      </c>
    </row>
    <row r="8" spans="1:10">
      <c r="A8" s="78">
        <v>4</v>
      </c>
      <c r="B8" s="79" t="s">
        <v>213</v>
      </c>
      <c r="C8" s="67" t="s">
        <v>75</v>
      </c>
      <c r="E8" s="78">
        <v>4</v>
      </c>
      <c r="F8" s="67" t="s">
        <v>126</v>
      </c>
      <c r="G8" s="67" t="s">
        <v>142</v>
      </c>
      <c r="I8" s="78">
        <v>4</v>
      </c>
      <c r="J8" s="67" t="s">
        <v>167</v>
      </c>
    </row>
    <row r="9" spans="1:10">
      <c r="A9" s="78">
        <v>5</v>
      </c>
      <c r="B9" s="79" t="s">
        <v>214</v>
      </c>
      <c r="C9" s="67" t="s">
        <v>62</v>
      </c>
      <c r="E9" s="78">
        <v>5</v>
      </c>
      <c r="F9" s="67" t="s">
        <v>215</v>
      </c>
      <c r="G9" s="67" t="s">
        <v>216</v>
      </c>
      <c r="I9" s="78">
        <v>5</v>
      </c>
      <c r="J9" s="67" t="s">
        <v>172</v>
      </c>
    </row>
    <row r="10" spans="1:10">
      <c r="A10" s="78">
        <v>6</v>
      </c>
      <c r="B10" s="79" t="s">
        <v>217</v>
      </c>
      <c r="C10" s="67" t="s">
        <v>218</v>
      </c>
      <c r="E10" s="78">
        <v>6</v>
      </c>
      <c r="F10" s="67" t="s">
        <v>114</v>
      </c>
      <c r="G10" s="67" t="s">
        <v>163</v>
      </c>
      <c r="I10" s="78">
        <v>6</v>
      </c>
      <c r="J10" s="67" t="s">
        <v>173</v>
      </c>
    </row>
    <row r="11" spans="1:10">
      <c r="A11" s="78">
        <v>7</v>
      </c>
      <c r="B11" s="79" t="s">
        <v>219</v>
      </c>
      <c r="C11" s="67" t="s">
        <v>220</v>
      </c>
      <c r="E11" s="78">
        <v>7</v>
      </c>
      <c r="F11" s="67" t="s">
        <v>130</v>
      </c>
      <c r="G11" s="67" t="s">
        <v>159</v>
      </c>
      <c r="I11" s="78">
        <v>7</v>
      </c>
      <c r="J11" s="67" t="s">
        <v>177</v>
      </c>
    </row>
    <row r="12" spans="1:10">
      <c r="A12" s="78">
        <v>8</v>
      </c>
      <c r="B12" s="79" t="s">
        <v>46</v>
      </c>
      <c r="C12" s="67" t="s">
        <v>221</v>
      </c>
      <c r="E12" s="78">
        <v>8</v>
      </c>
      <c r="F12" s="67" t="s">
        <v>122</v>
      </c>
      <c r="G12" s="67" t="s">
        <v>138</v>
      </c>
      <c r="I12" s="78">
        <v>8</v>
      </c>
      <c r="J12" s="67" t="s">
        <v>182</v>
      </c>
    </row>
    <row r="13" spans="1:10">
      <c r="A13" s="78">
        <v>9</v>
      </c>
      <c r="B13" s="79" t="s">
        <v>58</v>
      </c>
      <c r="C13" s="67" t="s">
        <v>222</v>
      </c>
      <c r="E13" s="78">
        <v>9</v>
      </c>
      <c r="F13" s="67" t="s">
        <v>110</v>
      </c>
      <c r="G13" s="67" t="s">
        <v>134</v>
      </c>
      <c r="I13" s="78">
        <v>9</v>
      </c>
      <c r="J13" s="67" t="s">
        <v>187</v>
      </c>
    </row>
    <row r="14" spans="1:10">
      <c r="A14" s="78">
        <v>10</v>
      </c>
      <c r="B14" s="67" t="s">
        <v>223</v>
      </c>
      <c r="C14" s="67"/>
      <c r="E14" s="78">
        <v>10</v>
      </c>
      <c r="F14" s="67"/>
      <c r="G14" s="67"/>
      <c r="I14" s="78">
        <v>10</v>
      </c>
      <c r="J14" s="67" t="s">
        <v>224</v>
      </c>
    </row>
    <row r="15" spans="1:10">
      <c r="A15" s="70"/>
      <c r="I15" s="70"/>
      <c r="J15" s="80"/>
    </row>
    <row r="16" spans="1:10">
      <c r="A16" s="70"/>
    </row>
    <row r="17" spans="1:1">
      <c r="A17" s="70"/>
    </row>
    <row r="18" spans="1:1">
      <c r="A18" s="70"/>
    </row>
    <row r="19" spans="1:1">
      <c r="A19" s="70"/>
    </row>
    <row r="20" spans="1:1">
      <c r="A20" s="70"/>
    </row>
    <row r="21" spans="1:1">
      <c r="A21" s="70"/>
    </row>
    <row r="22" spans="1:1">
      <c r="A22" s="70"/>
    </row>
    <row r="23" spans="1:1">
      <c r="A23" s="70"/>
    </row>
    <row r="24" spans="1:1">
      <c r="A24" s="70"/>
    </row>
    <row r="25" spans="1:1">
      <c r="A25" s="70"/>
    </row>
    <row r="26" spans="1:1">
      <c r="A26" s="70"/>
    </row>
    <row r="27" spans="1:1" ht="13.2">
      <c r="A27" s="70"/>
    </row>
    <row r="28" spans="1:1" ht="13.2">
      <c r="A28" s="70"/>
    </row>
    <row r="29" spans="1:1" ht="13.2">
      <c r="A29" s="70"/>
    </row>
    <row r="30" spans="1:1" ht="13.2">
      <c r="A30" s="70"/>
    </row>
    <row r="31" spans="1:1" ht="13.2">
      <c r="A31" s="70"/>
    </row>
    <row r="32" spans="1:1" ht="13.2">
      <c r="A32" s="70"/>
    </row>
    <row r="33" spans="1:1" ht="13.2">
      <c r="A33" s="70"/>
    </row>
    <row r="34" spans="1:1" ht="13.2">
      <c r="A34" s="70"/>
    </row>
    <row r="35" spans="1:1" ht="13.2">
      <c r="A35" s="70"/>
    </row>
    <row r="36" spans="1:1" ht="13.2">
      <c r="A36" s="70"/>
    </row>
    <row r="37" spans="1:1" ht="13.2">
      <c r="A37" s="70"/>
    </row>
    <row r="38" spans="1:1" ht="13.2">
      <c r="A38" s="70"/>
    </row>
    <row r="39" spans="1:1" ht="13.2">
      <c r="A39" s="70"/>
    </row>
    <row r="40" spans="1:1" ht="13.2">
      <c r="A40" s="70"/>
    </row>
    <row r="41" spans="1:1" ht="13.2">
      <c r="A41" s="70"/>
    </row>
    <row r="42" spans="1:1" ht="13.2">
      <c r="A42" s="70"/>
    </row>
    <row r="43" spans="1:1" ht="13.2">
      <c r="A43" s="70"/>
    </row>
    <row r="44" spans="1:1" ht="13.2">
      <c r="A44" s="70"/>
    </row>
    <row r="45" spans="1:1" ht="13.2">
      <c r="A45" s="70"/>
    </row>
    <row r="46" spans="1:1" ht="13.2">
      <c r="A46" s="70"/>
    </row>
    <row r="47" spans="1:1" ht="13.2">
      <c r="A47" s="70"/>
    </row>
    <row r="48" spans="1:1" ht="13.2">
      <c r="A48" s="70"/>
    </row>
    <row r="49" spans="1:1" ht="13.2">
      <c r="A49" s="70"/>
    </row>
    <row r="50" spans="1:1" ht="13.2">
      <c r="A50" s="70"/>
    </row>
    <row r="51" spans="1:1" ht="13.2">
      <c r="A51" s="70"/>
    </row>
    <row r="52" spans="1:1" ht="13.2">
      <c r="A52" s="70"/>
    </row>
    <row r="53" spans="1:1" ht="13.2">
      <c r="A53" s="70"/>
    </row>
    <row r="54" spans="1:1" ht="13.2">
      <c r="A54" s="70"/>
    </row>
    <row r="55" spans="1:1" ht="13.2">
      <c r="A55" s="70"/>
    </row>
    <row r="56" spans="1:1" ht="13.2">
      <c r="A56" s="70"/>
    </row>
    <row r="57" spans="1:1" ht="13.2">
      <c r="A57" s="70"/>
    </row>
    <row r="58" spans="1:1" ht="13.2">
      <c r="A58" s="70"/>
    </row>
    <row r="59" spans="1:1" ht="13.2">
      <c r="A59" s="70"/>
    </row>
    <row r="60" spans="1:1" ht="13.2">
      <c r="A60" s="70"/>
    </row>
    <row r="61" spans="1:1" ht="13.2">
      <c r="A61" s="70"/>
    </row>
    <row r="62" spans="1:1" ht="13.2">
      <c r="A62" s="70"/>
    </row>
    <row r="63" spans="1:1" ht="13.2">
      <c r="A63" s="70"/>
    </row>
    <row r="64" spans="1:1" ht="13.2">
      <c r="A64" s="70"/>
    </row>
    <row r="65" spans="1:1" ht="13.2">
      <c r="A65" s="70"/>
    </row>
    <row r="66" spans="1:1" ht="13.2">
      <c r="A66" s="70"/>
    </row>
    <row r="67" spans="1:1" ht="13.2">
      <c r="A67" s="70"/>
    </row>
    <row r="68" spans="1:1" ht="13.2">
      <c r="A68" s="70"/>
    </row>
    <row r="69" spans="1:1" ht="13.2">
      <c r="A69" s="70"/>
    </row>
    <row r="70" spans="1:1" ht="13.2">
      <c r="A70" s="70"/>
    </row>
    <row r="71" spans="1:1" ht="13.2">
      <c r="A71" s="70"/>
    </row>
    <row r="72" spans="1:1" ht="13.2">
      <c r="A72" s="70"/>
    </row>
    <row r="73" spans="1:1" ht="13.2">
      <c r="A73" s="70"/>
    </row>
    <row r="74" spans="1:1" ht="13.2">
      <c r="A74" s="70"/>
    </row>
    <row r="75" spans="1:1" ht="13.2">
      <c r="A75" s="70"/>
    </row>
    <row r="76" spans="1:1" ht="13.2">
      <c r="A76" s="70"/>
    </row>
    <row r="77" spans="1:1" ht="13.2">
      <c r="A77" s="70"/>
    </row>
    <row r="78" spans="1:1" ht="13.2">
      <c r="A78" s="70"/>
    </row>
    <row r="79" spans="1:1" ht="13.2">
      <c r="A79" s="70"/>
    </row>
    <row r="80" spans="1:1" ht="13.2">
      <c r="A80" s="70"/>
    </row>
    <row r="81" spans="1:1" ht="13.2">
      <c r="A81" s="70"/>
    </row>
    <row r="82" spans="1:1" ht="13.2">
      <c r="A82" s="70"/>
    </row>
    <row r="83" spans="1:1" ht="13.2">
      <c r="A83" s="70"/>
    </row>
    <row r="84" spans="1:1" ht="13.2">
      <c r="A84" s="70"/>
    </row>
    <row r="85" spans="1:1" ht="13.2">
      <c r="A85" s="70"/>
    </row>
    <row r="86" spans="1:1" ht="13.2">
      <c r="A86" s="70"/>
    </row>
    <row r="87" spans="1:1" ht="13.2">
      <c r="A87" s="70"/>
    </row>
    <row r="88" spans="1:1" ht="13.2">
      <c r="A88" s="70"/>
    </row>
    <row r="89" spans="1:1" ht="13.2">
      <c r="A89" s="70"/>
    </row>
    <row r="90" spans="1:1" ht="13.2">
      <c r="A90" s="70"/>
    </row>
    <row r="91" spans="1:1" ht="13.2">
      <c r="A91" s="70"/>
    </row>
    <row r="92" spans="1:1" ht="13.2">
      <c r="A92" s="70"/>
    </row>
    <row r="93" spans="1:1" ht="13.2">
      <c r="A93" s="70"/>
    </row>
    <row r="94" spans="1:1" ht="13.2">
      <c r="A94" s="70"/>
    </row>
    <row r="95" spans="1:1" ht="13.2">
      <c r="A95" s="70"/>
    </row>
    <row r="96" spans="1:1" ht="13.2">
      <c r="A96" s="70"/>
    </row>
    <row r="97" spans="1:1" ht="13.2">
      <c r="A97" s="70"/>
    </row>
    <row r="98" spans="1:1" ht="13.2">
      <c r="A98" s="70"/>
    </row>
    <row r="99" spans="1:1" ht="13.2">
      <c r="A99" s="70"/>
    </row>
    <row r="100" spans="1:1" ht="13.2">
      <c r="A100" s="70"/>
    </row>
    <row r="101" spans="1:1" ht="13.2">
      <c r="A101" s="70"/>
    </row>
    <row r="102" spans="1:1" ht="13.2">
      <c r="A102" s="70"/>
    </row>
    <row r="103" spans="1:1" ht="13.2">
      <c r="A103" s="70"/>
    </row>
    <row r="104" spans="1:1" ht="13.2">
      <c r="A104" s="70"/>
    </row>
    <row r="105" spans="1:1" ht="13.2">
      <c r="A105" s="70"/>
    </row>
    <row r="106" spans="1:1" ht="13.2">
      <c r="A106" s="70"/>
    </row>
    <row r="107" spans="1:1" ht="13.2">
      <c r="A107" s="70"/>
    </row>
    <row r="108" spans="1:1" ht="13.2">
      <c r="A108" s="70"/>
    </row>
    <row r="109" spans="1:1" ht="13.2">
      <c r="A109" s="70"/>
    </row>
    <row r="110" spans="1:1" ht="13.2">
      <c r="A110" s="70"/>
    </row>
    <row r="111" spans="1:1" ht="13.2">
      <c r="A111" s="70"/>
    </row>
    <row r="112" spans="1:1" ht="13.2">
      <c r="A112" s="70"/>
    </row>
    <row r="113" spans="1:1" ht="13.2">
      <c r="A113" s="70"/>
    </row>
    <row r="114" spans="1:1" ht="13.2">
      <c r="A114" s="70"/>
    </row>
    <row r="115" spans="1:1" ht="13.2">
      <c r="A115" s="70"/>
    </row>
    <row r="116" spans="1:1" ht="13.2">
      <c r="A116" s="70"/>
    </row>
    <row r="117" spans="1:1" ht="13.2">
      <c r="A117" s="70"/>
    </row>
    <row r="118" spans="1:1" ht="13.2">
      <c r="A118" s="70"/>
    </row>
    <row r="119" spans="1:1" ht="13.2">
      <c r="A119" s="70"/>
    </row>
    <row r="120" spans="1:1" ht="13.2">
      <c r="A120" s="70"/>
    </row>
    <row r="121" spans="1:1" ht="13.2">
      <c r="A121" s="70"/>
    </row>
    <row r="122" spans="1:1" ht="13.2">
      <c r="A122" s="70"/>
    </row>
    <row r="123" spans="1:1" ht="13.2">
      <c r="A123" s="70"/>
    </row>
    <row r="124" spans="1:1" ht="13.2">
      <c r="A124" s="70"/>
    </row>
    <row r="125" spans="1:1" ht="13.2">
      <c r="A125" s="70"/>
    </row>
    <row r="126" spans="1:1" ht="13.2">
      <c r="A126" s="70"/>
    </row>
    <row r="127" spans="1:1" ht="13.2">
      <c r="A127" s="70"/>
    </row>
    <row r="128" spans="1:1" ht="13.2">
      <c r="A128" s="70"/>
    </row>
    <row r="129" spans="1:1" ht="13.2">
      <c r="A129" s="70"/>
    </row>
    <row r="130" spans="1:1" ht="13.2">
      <c r="A130" s="70"/>
    </row>
    <row r="131" spans="1:1" ht="13.2">
      <c r="A131" s="70"/>
    </row>
    <row r="132" spans="1:1" ht="13.2">
      <c r="A132" s="70"/>
    </row>
    <row r="133" spans="1:1" ht="13.2">
      <c r="A133" s="70"/>
    </row>
    <row r="134" spans="1:1" ht="13.2">
      <c r="A134" s="70"/>
    </row>
    <row r="135" spans="1:1" ht="13.2">
      <c r="A135" s="70"/>
    </row>
    <row r="136" spans="1:1" ht="13.2">
      <c r="A136" s="70"/>
    </row>
    <row r="137" spans="1:1" ht="13.2">
      <c r="A137" s="70"/>
    </row>
    <row r="138" spans="1:1" ht="13.2">
      <c r="A138" s="70"/>
    </row>
    <row r="139" spans="1:1" ht="13.2">
      <c r="A139" s="70"/>
    </row>
    <row r="140" spans="1:1" ht="13.2">
      <c r="A140" s="70"/>
    </row>
    <row r="141" spans="1:1" ht="13.2">
      <c r="A141" s="70"/>
    </row>
    <row r="142" spans="1:1" ht="13.2">
      <c r="A142" s="70"/>
    </row>
    <row r="143" spans="1:1" ht="13.2">
      <c r="A143" s="70"/>
    </row>
    <row r="144" spans="1:1" ht="13.2">
      <c r="A144" s="70"/>
    </row>
    <row r="145" spans="1:1" ht="13.2">
      <c r="A145" s="70"/>
    </row>
    <row r="146" spans="1:1" ht="13.2">
      <c r="A146" s="70"/>
    </row>
    <row r="147" spans="1:1" ht="13.2">
      <c r="A147" s="70"/>
    </row>
    <row r="148" spans="1:1" ht="13.2">
      <c r="A148" s="70"/>
    </row>
    <row r="149" spans="1:1" ht="13.2">
      <c r="A149" s="70"/>
    </row>
    <row r="150" spans="1:1" ht="13.2">
      <c r="A150" s="70"/>
    </row>
    <row r="151" spans="1:1" ht="13.2">
      <c r="A151" s="70"/>
    </row>
    <row r="152" spans="1:1" ht="13.2">
      <c r="A152" s="70"/>
    </row>
    <row r="153" spans="1:1" ht="13.2">
      <c r="A153" s="70"/>
    </row>
    <row r="154" spans="1:1" ht="13.2">
      <c r="A154" s="70"/>
    </row>
    <row r="155" spans="1:1" ht="13.2">
      <c r="A155" s="70"/>
    </row>
    <row r="156" spans="1:1" ht="13.2">
      <c r="A156" s="70"/>
    </row>
    <row r="157" spans="1:1" ht="13.2">
      <c r="A157" s="70"/>
    </row>
    <row r="158" spans="1:1" ht="13.2">
      <c r="A158" s="70"/>
    </row>
    <row r="159" spans="1:1" ht="13.2">
      <c r="A159" s="70"/>
    </row>
    <row r="160" spans="1:1" ht="13.2">
      <c r="A160" s="70"/>
    </row>
    <row r="161" spans="1:1" ht="13.2">
      <c r="A161" s="70"/>
    </row>
    <row r="162" spans="1:1" ht="13.2">
      <c r="A162" s="70"/>
    </row>
    <row r="163" spans="1:1" ht="13.2">
      <c r="A163" s="70"/>
    </row>
    <row r="164" spans="1:1" ht="13.2">
      <c r="A164" s="70"/>
    </row>
    <row r="165" spans="1:1" ht="13.2">
      <c r="A165" s="70"/>
    </row>
    <row r="166" spans="1:1" ht="13.2">
      <c r="A166" s="70"/>
    </row>
    <row r="167" spans="1:1" ht="13.2">
      <c r="A167" s="70"/>
    </row>
    <row r="168" spans="1:1" ht="13.2">
      <c r="A168" s="70"/>
    </row>
    <row r="169" spans="1:1" ht="13.2">
      <c r="A169" s="70"/>
    </row>
    <row r="170" spans="1:1" ht="13.2">
      <c r="A170" s="70"/>
    </row>
    <row r="171" spans="1:1" ht="13.2">
      <c r="A171" s="70"/>
    </row>
    <row r="172" spans="1:1" ht="13.2">
      <c r="A172" s="70"/>
    </row>
    <row r="173" spans="1:1" ht="13.2">
      <c r="A173" s="70"/>
    </row>
    <row r="174" spans="1:1" ht="13.2">
      <c r="A174" s="70"/>
    </row>
    <row r="175" spans="1:1" ht="13.2">
      <c r="A175" s="70"/>
    </row>
    <row r="176" spans="1:1" ht="13.2">
      <c r="A176" s="70"/>
    </row>
    <row r="177" spans="1:1" ht="13.2">
      <c r="A177" s="70"/>
    </row>
    <row r="178" spans="1:1" ht="13.2">
      <c r="A178" s="70"/>
    </row>
    <row r="179" spans="1:1" ht="13.2">
      <c r="A179" s="70"/>
    </row>
    <row r="180" spans="1:1" ht="13.2">
      <c r="A180" s="70"/>
    </row>
    <row r="181" spans="1:1" ht="13.2">
      <c r="A181" s="70"/>
    </row>
    <row r="182" spans="1:1" ht="13.2">
      <c r="A182" s="70"/>
    </row>
    <row r="183" spans="1:1" ht="13.2">
      <c r="A183" s="70"/>
    </row>
    <row r="184" spans="1:1" ht="13.2">
      <c r="A184" s="70"/>
    </row>
    <row r="185" spans="1:1" ht="13.2">
      <c r="A185" s="70"/>
    </row>
    <row r="186" spans="1:1" ht="13.2">
      <c r="A186" s="70"/>
    </row>
    <row r="187" spans="1:1" ht="13.2">
      <c r="A187" s="70"/>
    </row>
    <row r="188" spans="1:1" ht="13.2">
      <c r="A188" s="70"/>
    </row>
    <row r="189" spans="1:1" ht="13.2">
      <c r="A189" s="70"/>
    </row>
    <row r="190" spans="1:1" ht="13.2">
      <c r="A190" s="70"/>
    </row>
    <row r="191" spans="1:1" ht="13.2">
      <c r="A191" s="70"/>
    </row>
    <row r="192" spans="1:1" ht="13.2">
      <c r="A192" s="70"/>
    </row>
    <row r="193" spans="1:1" ht="13.2">
      <c r="A193" s="70"/>
    </row>
    <row r="194" spans="1:1" ht="13.2">
      <c r="A194" s="70"/>
    </row>
    <row r="195" spans="1:1" ht="13.2">
      <c r="A195" s="70"/>
    </row>
    <row r="196" spans="1:1" ht="13.2">
      <c r="A196" s="70"/>
    </row>
    <row r="197" spans="1:1" ht="13.2">
      <c r="A197" s="70"/>
    </row>
    <row r="198" spans="1:1" ht="13.2">
      <c r="A198" s="70"/>
    </row>
    <row r="199" spans="1:1" ht="13.2">
      <c r="A199" s="70"/>
    </row>
    <row r="200" spans="1:1" ht="13.2">
      <c r="A200" s="70"/>
    </row>
    <row r="201" spans="1:1" ht="13.2">
      <c r="A201" s="70"/>
    </row>
    <row r="202" spans="1:1" ht="13.2">
      <c r="A202" s="70"/>
    </row>
    <row r="203" spans="1:1" ht="13.2">
      <c r="A203" s="70"/>
    </row>
    <row r="204" spans="1:1" ht="13.2">
      <c r="A204" s="70"/>
    </row>
    <row r="205" spans="1:1" ht="13.2">
      <c r="A205" s="70"/>
    </row>
    <row r="206" spans="1:1" ht="13.2">
      <c r="A206" s="70"/>
    </row>
    <row r="207" spans="1:1" ht="13.2">
      <c r="A207" s="70"/>
    </row>
    <row r="208" spans="1:1" ht="13.2">
      <c r="A208" s="70"/>
    </row>
    <row r="209" spans="1:1" ht="13.2">
      <c r="A209" s="70"/>
    </row>
    <row r="210" spans="1:1" ht="13.2">
      <c r="A210" s="70"/>
    </row>
    <row r="211" spans="1:1" ht="13.2">
      <c r="A211" s="70"/>
    </row>
    <row r="212" spans="1:1" ht="13.2">
      <c r="A212" s="70"/>
    </row>
    <row r="213" spans="1:1" ht="13.2">
      <c r="A213" s="70"/>
    </row>
    <row r="214" spans="1:1" ht="13.2">
      <c r="A214" s="70"/>
    </row>
    <row r="215" spans="1:1" ht="13.2">
      <c r="A215" s="70"/>
    </row>
    <row r="216" spans="1:1" ht="13.2">
      <c r="A216" s="70"/>
    </row>
    <row r="217" spans="1:1" ht="13.2">
      <c r="A217" s="70"/>
    </row>
    <row r="218" spans="1:1" ht="13.2">
      <c r="A218" s="70"/>
    </row>
    <row r="219" spans="1:1" ht="13.2">
      <c r="A219" s="70"/>
    </row>
    <row r="220" spans="1:1" ht="13.2">
      <c r="A220" s="70"/>
    </row>
    <row r="221" spans="1:1" ht="13.2">
      <c r="A221" s="70"/>
    </row>
    <row r="222" spans="1:1" ht="13.2">
      <c r="A222" s="70"/>
    </row>
    <row r="223" spans="1:1" ht="13.2">
      <c r="A223" s="70"/>
    </row>
    <row r="224" spans="1:1" ht="13.2">
      <c r="A224" s="70"/>
    </row>
    <row r="225" spans="1:1" ht="13.2">
      <c r="A225" s="70"/>
    </row>
    <row r="226" spans="1:1" ht="13.2">
      <c r="A226" s="70"/>
    </row>
    <row r="227" spans="1:1" ht="13.2">
      <c r="A227" s="70"/>
    </row>
    <row r="228" spans="1:1" ht="13.2">
      <c r="A228" s="70"/>
    </row>
    <row r="229" spans="1:1" ht="13.2">
      <c r="A229" s="70"/>
    </row>
    <row r="230" spans="1:1" ht="13.2">
      <c r="A230" s="70"/>
    </row>
    <row r="231" spans="1:1" ht="13.2">
      <c r="A231" s="70"/>
    </row>
    <row r="232" spans="1:1" ht="13.2">
      <c r="A232" s="70"/>
    </row>
    <row r="233" spans="1:1" ht="13.2">
      <c r="A233" s="70"/>
    </row>
    <row r="234" spans="1:1" ht="13.2">
      <c r="A234" s="70"/>
    </row>
    <row r="235" spans="1:1" ht="13.2">
      <c r="A235" s="70"/>
    </row>
    <row r="236" spans="1:1" ht="13.2">
      <c r="A236" s="70"/>
    </row>
    <row r="237" spans="1:1" ht="13.2">
      <c r="A237" s="70"/>
    </row>
    <row r="238" spans="1:1" ht="13.2">
      <c r="A238" s="70"/>
    </row>
    <row r="239" spans="1:1" ht="13.2">
      <c r="A239" s="70"/>
    </row>
    <row r="240" spans="1:1" ht="13.2">
      <c r="A240" s="70"/>
    </row>
    <row r="241" spans="1:1" ht="13.2">
      <c r="A241" s="70"/>
    </row>
    <row r="242" spans="1:1" ht="13.2">
      <c r="A242" s="70"/>
    </row>
    <row r="243" spans="1:1" ht="13.2">
      <c r="A243" s="70"/>
    </row>
    <row r="244" spans="1:1" ht="13.2">
      <c r="A244" s="70"/>
    </row>
    <row r="245" spans="1:1" ht="13.2">
      <c r="A245" s="70"/>
    </row>
    <row r="246" spans="1:1" ht="13.2">
      <c r="A246" s="70"/>
    </row>
    <row r="247" spans="1:1" ht="13.2">
      <c r="A247" s="70"/>
    </row>
    <row r="248" spans="1:1" ht="13.2">
      <c r="A248" s="70"/>
    </row>
    <row r="249" spans="1:1" ht="13.2">
      <c r="A249" s="70"/>
    </row>
    <row r="250" spans="1:1" ht="13.2">
      <c r="A250" s="70"/>
    </row>
    <row r="251" spans="1:1" ht="13.2">
      <c r="A251" s="70"/>
    </row>
    <row r="252" spans="1:1" ht="13.2">
      <c r="A252" s="70"/>
    </row>
    <row r="253" spans="1:1" ht="13.2">
      <c r="A253" s="70"/>
    </row>
    <row r="254" spans="1:1" ht="13.2">
      <c r="A254" s="70"/>
    </row>
    <row r="255" spans="1:1" ht="13.2">
      <c r="A255" s="70"/>
    </row>
    <row r="256" spans="1:1" ht="13.2">
      <c r="A256" s="70"/>
    </row>
    <row r="257" spans="1:1" ht="13.2">
      <c r="A257" s="70"/>
    </row>
    <row r="258" spans="1:1" ht="13.2">
      <c r="A258" s="70"/>
    </row>
    <row r="259" spans="1:1" ht="13.2">
      <c r="A259" s="70"/>
    </row>
    <row r="260" spans="1:1" ht="13.2">
      <c r="A260" s="70"/>
    </row>
    <row r="261" spans="1:1" ht="13.2">
      <c r="A261" s="70"/>
    </row>
    <row r="262" spans="1:1" ht="13.2">
      <c r="A262" s="70"/>
    </row>
    <row r="263" spans="1:1" ht="13.2">
      <c r="A263" s="70"/>
    </row>
    <row r="264" spans="1:1" ht="13.2">
      <c r="A264" s="70"/>
    </row>
    <row r="265" spans="1:1" ht="13.2">
      <c r="A265" s="70"/>
    </row>
    <row r="266" spans="1:1" ht="13.2">
      <c r="A266" s="70"/>
    </row>
    <row r="267" spans="1:1" ht="13.2">
      <c r="A267" s="70"/>
    </row>
    <row r="268" spans="1:1" ht="13.2">
      <c r="A268" s="70"/>
    </row>
    <row r="269" spans="1:1" ht="13.2">
      <c r="A269" s="70"/>
    </row>
    <row r="270" spans="1:1" ht="13.2">
      <c r="A270" s="70"/>
    </row>
    <row r="271" spans="1:1" ht="13.2">
      <c r="A271" s="70"/>
    </row>
    <row r="272" spans="1:1" ht="13.2">
      <c r="A272" s="70"/>
    </row>
    <row r="273" spans="1:1" ht="13.2">
      <c r="A273" s="70"/>
    </row>
    <row r="274" spans="1:1" ht="13.2">
      <c r="A274" s="70"/>
    </row>
    <row r="275" spans="1:1" ht="13.2">
      <c r="A275" s="70"/>
    </row>
    <row r="276" spans="1:1" ht="13.2">
      <c r="A276" s="70"/>
    </row>
    <row r="277" spans="1:1" ht="13.2">
      <c r="A277" s="70"/>
    </row>
    <row r="278" spans="1:1" ht="13.2">
      <c r="A278" s="70"/>
    </row>
    <row r="279" spans="1:1" ht="13.2">
      <c r="A279" s="70"/>
    </row>
    <row r="280" spans="1:1" ht="13.2">
      <c r="A280" s="70"/>
    </row>
    <row r="281" spans="1:1" ht="13.2">
      <c r="A281" s="70"/>
    </row>
    <row r="282" spans="1:1" ht="13.2">
      <c r="A282" s="70"/>
    </row>
    <row r="283" spans="1:1" ht="13.2">
      <c r="A283" s="70"/>
    </row>
    <row r="284" spans="1:1" ht="13.2">
      <c r="A284" s="70"/>
    </row>
    <row r="285" spans="1:1" ht="13.2">
      <c r="A285" s="70"/>
    </row>
    <row r="286" spans="1:1" ht="13.2">
      <c r="A286" s="70"/>
    </row>
    <row r="287" spans="1:1" ht="13.2">
      <c r="A287" s="70"/>
    </row>
    <row r="288" spans="1:1" ht="13.2">
      <c r="A288" s="70"/>
    </row>
    <row r="289" spans="1:1" ht="13.2">
      <c r="A289" s="70"/>
    </row>
    <row r="290" spans="1:1" ht="13.2">
      <c r="A290" s="70"/>
    </row>
    <row r="291" spans="1:1" ht="13.2">
      <c r="A291" s="70"/>
    </row>
    <row r="292" spans="1:1" ht="13.2">
      <c r="A292" s="70"/>
    </row>
    <row r="293" spans="1:1" ht="13.2">
      <c r="A293" s="70"/>
    </row>
    <row r="294" spans="1:1" ht="13.2">
      <c r="A294" s="70"/>
    </row>
    <row r="295" spans="1:1" ht="13.2">
      <c r="A295" s="70"/>
    </row>
    <row r="296" spans="1:1" ht="13.2">
      <c r="A296" s="70"/>
    </row>
    <row r="297" spans="1:1" ht="13.2">
      <c r="A297" s="70"/>
    </row>
    <row r="298" spans="1:1" ht="13.2">
      <c r="A298" s="70"/>
    </row>
    <row r="299" spans="1:1" ht="13.2">
      <c r="A299" s="70"/>
    </row>
    <row r="300" spans="1:1" ht="13.2">
      <c r="A300" s="70"/>
    </row>
    <row r="301" spans="1:1" ht="13.2">
      <c r="A301" s="70"/>
    </row>
    <row r="302" spans="1:1" ht="13.2">
      <c r="A302" s="70"/>
    </row>
    <row r="303" spans="1:1" ht="13.2">
      <c r="A303" s="70"/>
    </row>
    <row r="304" spans="1:1" ht="13.2">
      <c r="A304" s="70"/>
    </row>
    <row r="305" spans="1:1" ht="13.2">
      <c r="A305" s="70"/>
    </row>
    <row r="306" spans="1:1" ht="13.2">
      <c r="A306" s="70"/>
    </row>
    <row r="307" spans="1:1" ht="13.2">
      <c r="A307" s="70"/>
    </row>
    <row r="308" spans="1:1" ht="13.2">
      <c r="A308" s="70"/>
    </row>
    <row r="309" spans="1:1" ht="13.2">
      <c r="A309" s="70"/>
    </row>
    <row r="310" spans="1:1" ht="13.2">
      <c r="A310" s="70"/>
    </row>
    <row r="311" spans="1:1" ht="13.2">
      <c r="A311" s="70"/>
    </row>
    <row r="312" spans="1:1" ht="13.2">
      <c r="A312" s="70"/>
    </row>
    <row r="313" spans="1:1" ht="13.2">
      <c r="A313" s="70"/>
    </row>
    <row r="314" spans="1:1" ht="13.2">
      <c r="A314" s="70"/>
    </row>
    <row r="315" spans="1:1" ht="13.2">
      <c r="A315" s="70"/>
    </row>
    <row r="316" spans="1:1" ht="13.2">
      <c r="A316" s="70"/>
    </row>
    <row r="317" spans="1:1" ht="13.2">
      <c r="A317" s="70"/>
    </row>
    <row r="318" spans="1:1" ht="13.2">
      <c r="A318" s="70"/>
    </row>
    <row r="319" spans="1:1" ht="13.2">
      <c r="A319" s="70"/>
    </row>
    <row r="320" spans="1:1" ht="13.2">
      <c r="A320" s="70"/>
    </row>
    <row r="321" spans="1:1" ht="13.2">
      <c r="A321" s="70"/>
    </row>
    <row r="322" spans="1:1" ht="13.2">
      <c r="A322" s="70"/>
    </row>
    <row r="323" spans="1:1" ht="13.2">
      <c r="A323" s="70"/>
    </row>
    <row r="324" spans="1:1" ht="13.2">
      <c r="A324" s="70"/>
    </row>
    <row r="325" spans="1:1" ht="13.2">
      <c r="A325" s="70"/>
    </row>
    <row r="326" spans="1:1" ht="13.2">
      <c r="A326" s="70"/>
    </row>
    <row r="327" spans="1:1" ht="13.2">
      <c r="A327" s="70"/>
    </row>
    <row r="328" spans="1:1" ht="13.2">
      <c r="A328" s="70"/>
    </row>
    <row r="329" spans="1:1" ht="13.2">
      <c r="A329" s="70"/>
    </row>
    <row r="330" spans="1:1" ht="13.2">
      <c r="A330" s="70"/>
    </row>
    <row r="331" spans="1:1" ht="13.2">
      <c r="A331" s="70"/>
    </row>
    <row r="332" spans="1:1" ht="13.2">
      <c r="A332" s="70"/>
    </row>
    <row r="333" spans="1:1" ht="13.2">
      <c r="A333" s="70"/>
    </row>
    <row r="334" spans="1:1" ht="13.2">
      <c r="A334" s="70"/>
    </row>
    <row r="335" spans="1:1" ht="13.2">
      <c r="A335" s="70"/>
    </row>
    <row r="336" spans="1:1" ht="13.2">
      <c r="A336" s="70"/>
    </row>
    <row r="337" spans="1:1" ht="13.2">
      <c r="A337" s="70"/>
    </row>
    <row r="338" spans="1:1" ht="13.2">
      <c r="A338" s="70"/>
    </row>
    <row r="339" spans="1:1" ht="13.2">
      <c r="A339" s="70"/>
    </row>
    <row r="340" spans="1:1" ht="13.2">
      <c r="A340" s="70"/>
    </row>
    <row r="341" spans="1:1" ht="13.2">
      <c r="A341" s="70"/>
    </row>
    <row r="342" spans="1:1" ht="13.2">
      <c r="A342" s="70"/>
    </row>
    <row r="343" spans="1:1" ht="13.2">
      <c r="A343" s="70"/>
    </row>
    <row r="344" spans="1:1" ht="13.2">
      <c r="A344" s="70"/>
    </row>
    <row r="345" spans="1:1" ht="13.2">
      <c r="A345" s="70"/>
    </row>
    <row r="346" spans="1:1" ht="13.2">
      <c r="A346" s="70"/>
    </row>
    <row r="347" spans="1:1" ht="13.2">
      <c r="A347" s="70"/>
    </row>
    <row r="348" spans="1:1" ht="13.2">
      <c r="A348" s="70"/>
    </row>
    <row r="349" spans="1:1" ht="13.2">
      <c r="A349" s="70"/>
    </row>
    <row r="350" spans="1:1" ht="13.2">
      <c r="A350" s="70"/>
    </row>
    <row r="351" spans="1:1" ht="13.2">
      <c r="A351" s="70"/>
    </row>
    <row r="352" spans="1:1" ht="13.2">
      <c r="A352" s="70"/>
    </row>
    <row r="353" spans="1:1" ht="13.2">
      <c r="A353" s="70"/>
    </row>
    <row r="354" spans="1:1" ht="13.2">
      <c r="A354" s="70"/>
    </row>
    <row r="355" spans="1:1" ht="13.2">
      <c r="A355" s="70"/>
    </row>
    <row r="356" spans="1:1" ht="13.2">
      <c r="A356" s="70"/>
    </row>
    <row r="357" spans="1:1" ht="13.2">
      <c r="A357" s="70"/>
    </row>
    <row r="358" spans="1:1" ht="13.2">
      <c r="A358" s="70"/>
    </row>
    <row r="359" spans="1:1" ht="13.2">
      <c r="A359" s="70"/>
    </row>
    <row r="360" spans="1:1" ht="13.2">
      <c r="A360" s="70"/>
    </row>
    <row r="361" spans="1:1" ht="13.2">
      <c r="A361" s="70"/>
    </row>
    <row r="362" spans="1:1" ht="13.2">
      <c r="A362" s="70"/>
    </row>
    <row r="363" spans="1:1" ht="13.2">
      <c r="A363" s="70"/>
    </row>
    <row r="364" spans="1:1" ht="13.2">
      <c r="A364" s="70"/>
    </row>
    <row r="365" spans="1:1" ht="13.2">
      <c r="A365" s="70"/>
    </row>
    <row r="366" spans="1:1" ht="13.2">
      <c r="A366" s="70"/>
    </row>
    <row r="367" spans="1:1" ht="13.2">
      <c r="A367" s="70"/>
    </row>
    <row r="368" spans="1:1" ht="13.2">
      <c r="A368" s="70"/>
    </row>
    <row r="369" spans="1:1" ht="13.2">
      <c r="A369" s="70"/>
    </row>
    <row r="370" spans="1:1" ht="13.2">
      <c r="A370" s="70"/>
    </row>
    <row r="371" spans="1:1" ht="13.2">
      <c r="A371" s="70"/>
    </row>
    <row r="372" spans="1:1" ht="13.2">
      <c r="A372" s="70"/>
    </row>
    <row r="373" spans="1:1" ht="13.2">
      <c r="A373" s="70"/>
    </row>
    <row r="374" spans="1:1" ht="13.2">
      <c r="A374" s="70"/>
    </row>
    <row r="375" spans="1:1" ht="13.2">
      <c r="A375" s="70"/>
    </row>
    <row r="376" spans="1:1" ht="13.2">
      <c r="A376" s="70"/>
    </row>
    <row r="377" spans="1:1" ht="13.2">
      <c r="A377" s="70"/>
    </row>
    <row r="378" spans="1:1" ht="13.2">
      <c r="A378" s="70"/>
    </row>
    <row r="379" spans="1:1" ht="13.2">
      <c r="A379" s="70"/>
    </row>
    <row r="380" spans="1:1" ht="13.2">
      <c r="A380" s="70"/>
    </row>
    <row r="381" spans="1:1" ht="13.2">
      <c r="A381" s="70"/>
    </row>
    <row r="382" spans="1:1" ht="13.2">
      <c r="A382" s="70"/>
    </row>
    <row r="383" spans="1:1" ht="13.2">
      <c r="A383" s="70"/>
    </row>
    <row r="384" spans="1:1" ht="13.2">
      <c r="A384" s="70"/>
    </row>
    <row r="385" spans="1:1" ht="13.2">
      <c r="A385" s="70"/>
    </row>
    <row r="386" spans="1:1" ht="13.2">
      <c r="A386" s="70"/>
    </row>
    <row r="387" spans="1:1" ht="13.2">
      <c r="A387" s="70"/>
    </row>
    <row r="388" spans="1:1" ht="13.2">
      <c r="A388" s="70"/>
    </row>
    <row r="389" spans="1:1" ht="13.2">
      <c r="A389" s="70"/>
    </row>
    <row r="390" spans="1:1" ht="13.2">
      <c r="A390" s="70"/>
    </row>
    <row r="391" spans="1:1" ht="13.2">
      <c r="A391" s="70"/>
    </row>
    <row r="392" spans="1:1" ht="13.2">
      <c r="A392" s="70"/>
    </row>
    <row r="393" spans="1:1" ht="13.2">
      <c r="A393" s="70"/>
    </row>
    <row r="394" spans="1:1" ht="13.2">
      <c r="A394" s="70"/>
    </row>
    <row r="395" spans="1:1" ht="13.2">
      <c r="A395" s="70"/>
    </row>
    <row r="396" spans="1:1" ht="13.2">
      <c r="A396" s="70"/>
    </row>
    <row r="397" spans="1:1" ht="13.2">
      <c r="A397" s="70"/>
    </row>
    <row r="398" spans="1:1" ht="13.2">
      <c r="A398" s="70"/>
    </row>
    <row r="399" spans="1:1" ht="13.2">
      <c r="A399" s="70"/>
    </row>
    <row r="400" spans="1:1" ht="13.2">
      <c r="A400" s="70"/>
    </row>
    <row r="401" spans="1:1" ht="13.2">
      <c r="A401" s="70"/>
    </row>
    <row r="402" spans="1:1" ht="13.2">
      <c r="A402" s="70"/>
    </row>
    <row r="403" spans="1:1" ht="13.2">
      <c r="A403" s="70"/>
    </row>
    <row r="404" spans="1:1" ht="13.2">
      <c r="A404" s="70"/>
    </row>
    <row r="405" spans="1:1" ht="13.2">
      <c r="A405" s="70"/>
    </row>
    <row r="406" spans="1:1" ht="13.2">
      <c r="A406" s="70"/>
    </row>
    <row r="407" spans="1:1" ht="13.2">
      <c r="A407" s="70"/>
    </row>
    <row r="408" spans="1:1" ht="13.2">
      <c r="A408" s="70"/>
    </row>
    <row r="409" spans="1:1" ht="13.2">
      <c r="A409" s="70"/>
    </row>
    <row r="410" spans="1:1" ht="13.2">
      <c r="A410" s="70"/>
    </row>
    <row r="411" spans="1:1" ht="13.2">
      <c r="A411" s="70"/>
    </row>
    <row r="412" spans="1:1" ht="13.2">
      <c r="A412" s="70"/>
    </row>
    <row r="413" spans="1:1" ht="13.2">
      <c r="A413" s="70"/>
    </row>
    <row r="414" spans="1:1" ht="13.2">
      <c r="A414" s="70"/>
    </row>
    <row r="415" spans="1:1" ht="13.2">
      <c r="A415" s="70"/>
    </row>
    <row r="416" spans="1:1" ht="13.2">
      <c r="A416" s="70"/>
    </row>
    <row r="417" spans="1:1" ht="13.2">
      <c r="A417" s="70"/>
    </row>
    <row r="418" spans="1:1" ht="13.2">
      <c r="A418" s="70"/>
    </row>
    <row r="419" spans="1:1" ht="13.2">
      <c r="A419" s="70"/>
    </row>
    <row r="420" spans="1:1" ht="13.2">
      <c r="A420" s="70"/>
    </row>
    <row r="421" spans="1:1" ht="13.2">
      <c r="A421" s="70"/>
    </row>
    <row r="422" spans="1:1" ht="13.2">
      <c r="A422" s="70"/>
    </row>
    <row r="423" spans="1:1" ht="13.2">
      <c r="A423" s="70"/>
    </row>
    <row r="424" spans="1:1" ht="13.2">
      <c r="A424" s="70"/>
    </row>
    <row r="425" spans="1:1" ht="13.2">
      <c r="A425" s="70"/>
    </row>
    <row r="426" spans="1:1" ht="13.2">
      <c r="A426" s="70"/>
    </row>
    <row r="427" spans="1:1" ht="13.2">
      <c r="A427" s="70"/>
    </row>
    <row r="428" spans="1:1" ht="13.2">
      <c r="A428" s="70"/>
    </row>
    <row r="429" spans="1:1" ht="13.2">
      <c r="A429" s="70"/>
    </row>
    <row r="430" spans="1:1" ht="13.2">
      <c r="A430" s="70"/>
    </row>
    <row r="431" spans="1:1" ht="13.2">
      <c r="A431" s="70"/>
    </row>
    <row r="432" spans="1:1" ht="13.2">
      <c r="A432" s="70"/>
    </row>
    <row r="433" spans="1:1" ht="13.2">
      <c r="A433" s="70"/>
    </row>
    <row r="434" spans="1:1" ht="13.2">
      <c r="A434" s="70"/>
    </row>
    <row r="435" spans="1:1" ht="13.2">
      <c r="A435" s="70"/>
    </row>
    <row r="436" spans="1:1" ht="13.2">
      <c r="A436" s="70"/>
    </row>
    <row r="437" spans="1:1" ht="13.2">
      <c r="A437" s="70"/>
    </row>
    <row r="438" spans="1:1" ht="13.2">
      <c r="A438" s="70"/>
    </row>
    <row r="439" spans="1:1" ht="13.2">
      <c r="A439" s="70"/>
    </row>
    <row r="440" spans="1:1" ht="13.2">
      <c r="A440" s="70"/>
    </row>
    <row r="441" spans="1:1" ht="13.2">
      <c r="A441" s="70"/>
    </row>
    <row r="442" spans="1:1" ht="13.2">
      <c r="A442" s="70"/>
    </row>
    <row r="443" spans="1:1" ht="13.2">
      <c r="A443" s="70"/>
    </row>
    <row r="444" spans="1:1" ht="13.2">
      <c r="A444" s="70"/>
    </row>
    <row r="445" spans="1:1" ht="13.2">
      <c r="A445" s="70"/>
    </row>
    <row r="446" spans="1:1" ht="13.2">
      <c r="A446" s="70"/>
    </row>
    <row r="447" spans="1:1" ht="13.2">
      <c r="A447" s="70"/>
    </row>
    <row r="448" spans="1:1" ht="13.2">
      <c r="A448" s="70"/>
    </row>
    <row r="449" spans="1:1" ht="13.2">
      <c r="A449" s="70"/>
    </row>
    <row r="450" spans="1:1" ht="13.2">
      <c r="A450" s="70"/>
    </row>
    <row r="451" spans="1:1" ht="13.2">
      <c r="A451" s="70"/>
    </row>
    <row r="452" spans="1:1" ht="13.2">
      <c r="A452" s="70"/>
    </row>
    <row r="453" spans="1:1" ht="13.2">
      <c r="A453" s="70"/>
    </row>
    <row r="454" spans="1:1" ht="13.2">
      <c r="A454" s="70"/>
    </row>
    <row r="455" spans="1:1" ht="13.2">
      <c r="A455" s="70"/>
    </row>
    <row r="456" spans="1:1" ht="13.2">
      <c r="A456" s="70"/>
    </row>
    <row r="457" spans="1:1" ht="13.2">
      <c r="A457" s="70"/>
    </row>
    <row r="458" spans="1:1" ht="13.2">
      <c r="A458" s="70"/>
    </row>
    <row r="459" spans="1:1" ht="13.2">
      <c r="A459" s="70"/>
    </row>
    <row r="460" spans="1:1" ht="13.2">
      <c r="A460" s="70"/>
    </row>
    <row r="461" spans="1:1" ht="13.2">
      <c r="A461" s="70"/>
    </row>
    <row r="462" spans="1:1" ht="13.2">
      <c r="A462" s="70"/>
    </row>
    <row r="463" spans="1:1" ht="13.2">
      <c r="A463" s="70"/>
    </row>
    <row r="464" spans="1:1" ht="13.2">
      <c r="A464" s="70"/>
    </row>
    <row r="465" spans="1:1" ht="13.2">
      <c r="A465" s="70"/>
    </row>
    <row r="466" spans="1:1" ht="13.2">
      <c r="A466" s="70"/>
    </row>
    <row r="467" spans="1:1" ht="13.2">
      <c r="A467" s="70"/>
    </row>
    <row r="468" spans="1:1" ht="13.2">
      <c r="A468" s="70"/>
    </row>
    <row r="469" spans="1:1" ht="13.2">
      <c r="A469" s="70"/>
    </row>
    <row r="470" spans="1:1" ht="13.2">
      <c r="A470" s="70"/>
    </row>
    <row r="471" spans="1:1" ht="13.2">
      <c r="A471" s="70"/>
    </row>
    <row r="472" spans="1:1" ht="13.2">
      <c r="A472" s="70"/>
    </row>
    <row r="473" spans="1:1" ht="13.2">
      <c r="A473" s="70"/>
    </row>
    <row r="474" spans="1:1" ht="13.2">
      <c r="A474" s="70"/>
    </row>
    <row r="475" spans="1:1" ht="13.2">
      <c r="A475" s="70"/>
    </row>
    <row r="476" spans="1:1" ht="13.2">
      <c r="A476" s="70"/>
    </row>
    <row r="477" spans="1:1" ht="13.2">
      <c r="A477" s="70"/>
    </row>
    <row r="478" spans="1:1" ht="13.2">
      <c r="A478" s="70"/>
    </row>
    <row r="479" spans="1:1" ht="13.2">
      <c r="A479" s="70"/>
    </row>
    <row r="480" spans="1:1" ht="13.2">
      <c r="A480" s="70"/>
    </row>
    <row r="481" spans="1:1" ht="13.2">
      <c r="A481" s="70"/>
    </row>
    <row r="482" spans="1:1" ht="13.2">
      <c r="A482" s="70"/>
    </row>
    <row r="483" spans="1:1" ht="13.2">
      <c r="A483" s="70"/>
    </row>
    <row r="484" spans="1:1" ht="13.2">
      <c r="A484" s="70"/>
    </row>
    <row r="485" spans="1:1" ht="13.2">
      <c r="A485" s="70"/>
    </row>
    <row r="486" spans="1:1" ht="13.2">
      <c r="A486" s="70"/>
    </row>
    <row r="487" spans="1:1" ht="13.2">
      <c r="A487" s="70"/>
    </row>
    <row r="488" spans="1:1" ht="13.2">
      <c r="A488" s="70"/>
    </row>
    <row r="489" spans="1:1" ht="13.2">
      <c r="A489" s="70"/>
    </row>
    <row r="490" spans="1:1" ht="13.2">
      <c r="A490" s="70"/>
    </row>
    <row r="491" spans="1:1" ht="13.2">
      <c r="A491" s="70"/>
    </row>
    <row r="492" spans="1:1" ht="13.2">
      <c r="A492" s="70"/>
    </row>
    <row r="493" spans="1:1" ht="13.2">
      <c r="A493" s="70"/>
    </row>
    <row r="494" spans="1:1" ht="13.2">
      <c r="A494" s="70"/>
    </row>
    <row r="495" spans="1:1" ht="13.2">
      <c r="A495" s="70"/>
    </row>
    <row r="496" spans="1:1" ht="13.2">
      <c r="A496" s="70"/>
    </row>
    <row r="497" spans="1:1" ht="13.2">
      <c r="A497" s="70"/>
    </row>
    <row r="498" spans="1:1" ht="13.2">
      <c r="A498" s="70"/>
    </row>
    <row r="499" spans="1:1" ht="13.2">
      <c r="A499" s="70"/>
    </row>
    <row r="500" spans="1:1" ht="13.2">
      <c r="A500" s="70"/>
    </row>
    <row r="501" spans="1:1" ht="13.2">
      <c r="A501" s="70"/>
    </row>
    <row r="502" spans="1:1" ht="13.2">
      <c r="A502" s="70"/>
    </row>
    <row r="503" spans="1:1" ht="13.2">
      <c r="A503" s="70"/>
    </row>
    <row r="504" spans="1:1" ht="13.2">
      <c r="A504" s="70"/>
    </row>
    <row r="505" spans="1:1" ht="13.2">
      <c r="A505" s="70"/>
    </row>
    <row r="506" spans="1:1" ht="13.2">
      <c r="A506" s="70"/>
    </row>
    <row r="507" spans="1:1" ht="13.2">
      <c r="A507" s="70"/>
    </row>
    <row r="508" spans="1:1" ht="13.2">
      <c r="A508" s="70"/>
    </row>
    <row r="509" spans="1:1" ht="13.2">
      <c r="A509" s="70"/>
    </row>
    <row r="510" spans="1:1" ht="13.2">
      <c r="A510" s="70"/>
    </row>
    <row r="511" spans="1:1" ht="13.2">
      <c r="A511" s="70"/>
    </row>
    <row r="512" spans="1:1" ht="13.2">
      <c r="A512" s="70"/>
    </row>
    <row r="513" spans="1:1" ht="13.2">
      <c r="A513" s="70"/>
    </row>
    <row r="514" spans="1:1" ht="13.2">
      <c r="A514" s="70"/>
    </row>
    <row r="515" spans="1:1" ht="13.2">
      <c r="A515" s="70"/>
    </row>
    <row r="516" spans="1:1" ht="13.2">
      <c r="A516" s="70"/>
    </row>
    <row r="517" spans="1:1" ht="13.2">
      <c r="A517" s="70"/>
    </row>
    <row r="518" spans="1:1" ht="13.2">
      <c r="A518" s="70"/>
    </row>
    <row r="519" spans="1:1" ht="13.2">
      <c r="A519" s="70"/>
    </row>
    <row r="520" spans="1:1" ht="13.2">
      <c r="A520" s="70"/>
    </row>
    <row r="521" spans="1:1" ht="13.2">
      <c r="A521" s="70"/>
    </row>
    <row r="522" spans="1:1" ht="13.2">
      <c r="A522" s="70"/>
    </row>
    <row r="523" spans="1:1" ht="13.2">
      <c r="A523" s="70"/>
    </row>
    <row r="524" spans="1:1" ht="13.2">
      <c r="A524" s="70"/>
    </row>
    <row r="525" spans="1:1" ht="13.2">
      <c r="A525" s="70"/>
    </row>
    <row r="526" spans="1:1" ht="13.2">
      <c r="A526" s="70"/>
    </row>
    <row r="527" spans="1:1" ht="13.2">
      <c r="A527" s="70"/>
    </row>
    <row r="528" spans="1:1" ht="13.2">
      <c r="A528" s="70"/>
    </row>
    <row r="529" spans="1:1" ht="13.2">
      <c r="A529" s="70"/>
    </row>
    <row r="530" spans="1:1" ht="13.2">
      <c r="A530" s="70"/>
    </row>
    <row r="531" spans="1:1" ht="13.2">
      <c r="A531" s="70"/>
    </row>
    <row r="532" spans="1:1" ht="13.2">
      <c r="A532" s="70"/>
    </row>
    <row r="533" spans="1:1" ht="13.2">
      <c r="A533" s="70"/>
    </row>
    <row r="534" spans="1:1" ht="13.2">
      <c r="A534" s="70"/>
    </row>
    <row r="535" spans="1:1" ht="13.2">
      <c r="A535" s="70"/>
    </row>
    <row r="536" spans="1:1" ht="13.2">
      <c r="A536" s="70"/>
    </row>
    <row r="537" spans="1:1" ht="13.2">
      <c r="A537" s="70"/>
    </row>
    <row r="538" spans="1:1" ht="13.2">
      <c r="A538" s="70"/>
    </row>
    <row r="539" spans="1:1" ht="13.2">
      <c r="A539" s="70"/>
    </row>
    <row r="540" spans="1:1" ht="13.2">
      <c r="A540" s="70"/>
    </row>
    <row r="541" spans="1:1" ht="13.2">
      <c r="A541" s="70"/>
    </row>
    <row r="542" spans="1:1" ht="13.2">
      <c r="A542" s="70"/>
    </row>
    <row r="543" spans="1:1" ht="13.2">
      <c r="A543" s="70"/>
    </row>
    <row r="544" spans="1:1" ht="13.2">
      <c r="A544" s="70"/>
    </row>
    <row r="545" spans="1:1" ht="13.2">
      <c r="A545" s="70"/>
    </row>
    <row r="546" spans="1:1" ht="13.2">
      <c r="A546" s="70"/>
    </row>
    <row r="547" spans="1:1" ht="13.2">
      <c r="A547" s="70"/>
    </row>
    <row r="548" spans="1:1" ht="13.2">
      <c r="A548" s="70"/>
    </row>
    <row r="549" spans="1:1" ht="13.2">
      <c r="A549" s="70"/>
    </row>
    <row r="550" spans="1:1" ht="13.2">
      <c r="A550" s="70"/>
    </row>
    <row r="551" spans="1:1" ht="13.2">
      <c r="A551" s="70"/>
    </row>
    <row r="552" spans="1:1" ht="13.2">
      <c r="A552" s="70"/>
    </row>
    <row r="553" spans="1:1" ht="13.2">
      <c r="A553" s="70"/>
    </row>
    <row r="554" spans="1:1" ht="13.2">
      <c r="A554" s="70"/>
    </row>
    <row r="555" spans="1:1" ht="13.2">
      <c r="A555" s="70"/>
    </row>
    <row r="556" spans="1:1" ht="13.2">
      <c r="A556" s="70"/>
    </row>
    <row r="557" spans="1:1" ht="13.2">
      <c r="A557" s="70"/>
    </row>
    <row r="558" spans="1:1" ht="13.2">
      <c r="A558" s="70"/>
    </row>
    <row r="559" spans="1:1" ht="13.2">
      <c r="A559" s="70"/>
    </row>
    <row r="560" spans="1:1" ht="13.2">
      <c r="A560" s="70"/>
    </row>
    <row r="561" spans="1:1" ht="13.2">
      <c r="A561" s="70"/>
    </row>
    <row r="562" spans="1:1" ht="13.2">
      <c r="A562" s="70"/>
    </row>
    <row r="563" spans="1:1" ht="13.2">
      <c r="A563" s="70"/>
    </row>
    <row r="564" spans="1:1" ht="13.2">
      <c r="A564" s="70"/>
    </row>
    <row r="565" spans="1:1" ht="13.2">
      <c r="A565" s="70"/>
    </row>
    <row r="566" spans="1:1" ht="13.2">
      <c r="A566" s="70"/>
    </row>
    <row r="567" spans="1:1" ht="13.2">
      <c r="A567" s="70"/>
    </row>
    <row r="568" spans="1:1" ht="13.2">
      <c r="A568" s="70"/>
    </row>
    <row r="569" spans="1:1" ht="13.2">
      <c r="A569" s="70"/>
    </row>
    <row r="570" spans="1:1" ht="13.2">
      <c r="A570" s="70"/>
    </row>
    <row r="571" spans="1:1" ht="13.2">
      <c r="A571" s="70"/>
    </row>
    <row r="572" spans="1:1" ht="13.2">
      <c r="A572" s="70"/>
    </row>
    <row r="573" spans="1:1" ht="13.2">
      <c r="A573" s="70"/>
    </row>
    <row r="574" spans="1:1" ht="13.2">
      <c r="A574" s="70"/>
    </row>
    <row r="575" spans="1:1" ht="13.2">
      <c r="A575" s="70"/>
    </row>
    <row r="576" spans="1:1" ht="13.2">
      <c r="A576" s="70"/>
    </row>
    <row r="577" spans="1:1" ht="13.2">
      <c r="A577" s="70"/>
    </row>
    <row r="578" spans="1:1" ht="13.2">
      <c r="A578" s="70"/>
    </row>
    <row r="579" spans="1:1" ht="13.2">
      <c r="A579" s="70"/>
    </row>
    <row r="580" spans="1:1" ht="13.2">
      <c r="A580" s="70"/>
    </row>
    <row r="581" spans="1:1" ht="13.2">
      <c r="A581" s="70"/>
    </row>
    <row r="582" spans="1:1" ht="13.2">
      <c r="A582" s="70"/>
    </row>
    <row r="583" spans="1:1" ht="13.2">
      <c r="A583" s="70"/>
    </row>
    <row r="584" spans="1:1" ht="13.2">
      <c r="A584" s="70"/>
    </row>
    <row r="585" spans="1:1" ht="13.2">
      <c r="A585" s="70"/>
    </row>
    <row r="586" spans="1:1" ht="13.2">
      <c r="A586" s="70"/>
    </row>
    <row r="587" spans="1:1" ht="13.2">
      <c r="A587" s="70"/>
    </row>
    <row r="588" spans="1:1" ht="13.2">
      <c r="A588" s="70"/>
    </row>
    <row r="589" spans="1:1" ht="13.2">
      <c r="A589" s="70"/>
    </row>
    <row r="590" spans="1:1" ht="13.2">
      <c r="A590" s="70"/>
    </row>
    <row r="591" spans="1:1" ht="13.2">
      <c r="A591" s="70"/>
    </row>
    <row r="592" spans="1:1" ht="13.2">
      <c r="A592" s="70"/>
    </row>
    <row r="593" spans="1:1" ht="13.2">
      <c r="A593" s="70"/>
    </row>
    <row r="594" spans="1:1" ht="13.2">
      <c r="A594" s="70"/>
    </row>
    <row r="595" spans="1:1" ht="13.2">
      <c r="A595" s="70"/>
    </row>
    <row r="596" spans="1:1" ht="13.2">
      <c r="A596" s="70"/>
    </row>
    <row r="597" spans="1:1" ht="13.2">
      <c r="A597" s="70"/>
    </row>
    <row r="598" spans="1:1" ht="13.2">
      <c r="A598" s="70"/>
    </row>
    <row r="599" spans="1:1" ht="13.2">
      <c r="A599" s="70"/>
    </row>
    <row r="600" spans="1:1" ht="13.2">
      <c r="A600" s="70"/>
    </row>
    <row r="601" spans="1:1" ht="13.2">
      <c r="A601" s="70"/>
    </row>
    <row r="602" spans="1:1" ht="13.2">
      <c r="A602" s="70"/>
    </row>
    <row r="603" spans="1:1" ht="13.2">
      <c r="A603" s="70"/>
    </row>
    <row r="604" spans="1:1" ht="13.2">
      <c r="A604" s="70"/>
    </row>
    <row r="605" spans="1:1" ht="13.2">
      <c r="A605" s="70"/>
    </row>
    <row r="606" spans="1:1" ht="13.2">
      <c r="A606" s="70"/>
    </row>
    <row r="607" spans="1:1" ht="13.2">
      <c r="A607" s="70"/>
    </row>
    <row r="608" spans="1:1" ht="13.2">
      <c r="A608" s="70"/>
    </row>
    <row r="609" spans="1:1" ht="13.2">
      <c r="A609" s="70"/>
    </row>
    <row r="610" spans="1:1" ht="13.2">
      <c r="A610" s="70"/>
    </row>
    <row r="611" spans="1:1" ht="13.2">
      <c r="A611" s="70"/>
    </row>
    <row r="612" spans="1:1" ht="13.2">
      <c r="A612" s="70"/>
    </row>
    <row r="613" spans="1:1" ht="13.2">
      <c r="A613" s="70"/>
    </row>
    <row r="614" spans="1:1" ht="13.2">
      <c r="A614" s="70"/>
    </row>
    <row r="615" spans="1:1" ht="13.2">
      <c r="A615" s="70"/>
    </row>
    <row r="616" spans="1:1" ht="13.2">
      <c r="A616" s="70"/>
    </row>
    <row r="617" spans="1:1" ht="13.2">
      <c r="A617" s="70"/>
    </row>
    <row r="618" spans="1:1" ht="13.2">
      <c r="A618" s="70"/>
    </row>
    <row r="619" spans="1:1" ht="13.2">
      <c r="A619" s="70"/>
    </row>
    <row r="620" spans="1:1" ht="13.2">
      <c r="A620" s="70"/>
    </row>
    <row r="621" spans="1:1" ht="13.2">
      <c r="A621" s="70"/>
    </row>
    <row r="622" spans="1:1" ht="13.2">
      <c r="A622" s="70"/>
    </row>
    <row r="623" spans="1:1" ht="13.2">
      <c r="A623" s="70"/>
    </row>
    <row r="624" spans="1:1" ht="13.2">
      <c r="A624" s="70"/>
    </row>
    <row r="625" spans="1:1" ht="13.2">
      <c r="A625" s="70"/>
    </row>
    <row r="626" spans="1:1" ht="13.2">
      <c r="A626" s="70"/>
    </row>
    <row r="627" spans="1:1" ht="13.2">
      <c r="A627" s="70"/>
    </row>
    <row r="628" spans="1:1" ht="13.2">
      <c r="A628" s="70"/>
    </row>
    <row r="629" spans="1:1" ht="13.2">
      <c r="A629" s="70"/>
    </row>
    <row r="630" spans="1:1" ht="13.2">
      <c r="A630" s="70"/>
    </row>
    <row r="631" spans="1:1" ht="13.2">
      <c r="A631" s="70"/>
    </row>
    <row r="632" spans="1:1" ht="13.2">
      <c r="A632" s="70"/>
    </row>
    <row r="633" spans="1:1" ht="13.2">
      <c r="A633" s="70"/>
    </row>
    <row r="634" spans="1:1" ht="13.2">
      <c r="A634" s="70"/>
    </row>
    <row r="635" spans="1:1" ht="13.2">
      <c r="A635" s="70"/>
    </row>
    <row r="636" spans="1:1" ht="13.2">
      <c r="A636" s="70"/>
    </row>
    <row r="637" spans="1:1" ht="13.2">
      <c r="A637" s="70"/>
    </row>
    <row r="638" spans="1:1" ht="13.2">
      <c r="A638" s="70"/>
    </row>
    <row r="639" spans="1:1" ht="13.2">
      <c r="A639" s="70"/>
    </row>
    <row r="640" spans="1:1" ht="13.2">
      <c r="A640" s="70"/>
    </row>
    <row r="641" spans="1:1" ht="13.2">
      <c r="A641" s="70"/>
    </row>
    <row r="642" spans="1:1" ht="13.2">
      <c r="A642" s="70"/>
    </row>
    <row r="643" spans="1:1" ht="13.2">
      <c r="A643" s="70"/>
    </row>
    <row r="644" spans="1:1" ht="13.2">
      <c r="A644" s="70"/>
    </row>
    <row r="645" spans="1:1" ht="13.2">
      <c r="A645" s="70"/>
    </row>
    <row r="646" spans="1:1" ht="13.2">
      <c r="A646" s="70"/>
    </row>
    <row r="647" spans="1:1" ht="13.2">
      <c r="A647" s="70"/>
    </row>
    <row r="648" spans="1:1" ht="13.2">
      <c r="A648" s="70"/>
    </row>
    <row r="649" spans="1:1" ht="13.2">
      <c r="A649" s="70"/>
    </row>
    <row r="650" spans="1:1" ht="13.2">
      <c r="A650" s="70"/>
    </row>
    <row r="651" spans="1:1" ht="13.2">
      <c r="A651" s="70"/>
    </row>
    <row r="652" spans="1:1" ht="13.2">
      <c r="A652" s="70"/>
    </row>
    <row r="653" spans="1:1" ht="13.2">
      <c r="A653" s="70"/>
    </row>
    <row r="654" spans="1:1" ht="13.2">
      <c r="A654" s="70"/>
    </row>
    <row r="655" spans="1:1" ht="13.2">
      <c r="A655" s="70"/>
    </row>
    <row r="656" spans="1:1" ht="13.2">
      <c r="A656" s="70"/>
    </row>
    <row r="657" spans="1:1" ht="13.2">
      <c r="A657" s="70"/>
    </row>
    <row r="658" spans="1:1" ht="13.2">
      <c r="A658" s="70"/>
    </row>
    <row r="659" spans="1:1" ht="13.2">
      <c r="A659" s="70"/>
    </row>
    <row r="660" spans="1:1" ht="13.2">
      <c r="A660" s="70"/>
    </row>
    <row r="661" spans="1:1" ht="13.2">
      <c r="A661" s="70"/>
    </row>
    <row r="662" spans="1:1" ht="13.2">
      <c r="A662" s="70"/>
    </row>
    <row r="663" spans="1:1" ht="13.2">
      <c r="A663" s="70"/>
    </row>
    <row r="664" spans="1:1" ht="13.2">
      <c r="A664" s="70"/>
    </row>
    <row r="665" spans="1:1" ht="13.2">
      <c r="A665" s="70"/>
    </row>
    <row r="666" spans="1:1" ht="13.2">
      <c r="A666" s="70"/>
    </row>
    <row r="667" spans="1:1" ht="13.2">
      <c r="A667" s="70"/>
    </row>
    <row r="668" spans="1:1" ht="13.2">
      <c r="A668" s="70"/>
    </row>
    <row r="669" spans="1:1" ht="13.2">
      <c r="A669" s="70"/>
    </row>
    <row r="670" spans="1:1" ht="13.2">
      <c r="A670" s="70"/>
    </row>
    <row r="671" spans="1:1" ht="13.2">
      <c r="A671" s="70"/>
    </row>
    <row r="672" spans="1:1" ht="13.2">
      <c r="A672" s="70"/>
    </row>
    <row r="673" spans="1:1" ht="13.2">
      <c r="A673" s="70"/>
    </row>
    <row r="674" spans="1:1" ht="13.2">
      <c r="A674" s="70"/>
    </row>
    <row r="675" spans="1:1" ht="13.2">
      <c r="A675" s="70"/>
    </row>
    <row r="676" spans="1:1" ht="13.2">
      <c r="A676" s="70"/>
    </row>
    <row r="677" spans="1:1" ht="13.2">
      <c r="A677" s="70"/>
    </row>
    <row r="678" spans="1:1" ht="13.2">
      <c r="A678" s="70"/>
    </row>
    <row r="679" spans="1:1" ht="13.2">
      <c r="A679" s="70"/>
    </row>
    <row r="680" spans="1:1" ht="13.2">
      <c r="A680" s="70"/>
    </row>
    <row r="681" spans="1:1" ht="13.2">
      <c r="A681" s="70"/>
    </row>
    <row r="682" spans="1:1" ht="13.2">
      <c r="A682" s="70"/>
    </row>
    <row r="683" spans="1:1" ht="13.2">
      <c r="A683" s="70"/>
    </row>
    <row r="684" spans="1:1" ht="13.2">
      <c r="A684" s="70"/>
    </row>
    <row r="685" spans="1:1" ht="13.2">
      <c r="A685" s="70"/>
    </row>
    <row r="686" spans="1:1" ht="13.2">
      <c r="A686" s="70"/>
    </row>
    <row r="687" spans="1:1" ht="13.2">
      <c r="A687" s="70"/>
    </row>
    <row r="688" spans="1:1" ht="13.2">
      <c r="A688" s="70"/>
    </row>
    <row r="689" spans="1:1" ht="13.2">
      <c r="A689" s="70"/>
    </row>
    <row r="690" spans="1:1" ht="13.2">
      <c r="A690" s="70"/>
    </row>
    <row r="691" spans="1:1" ht="13.2">
      <c r="A691" s="70"/>
    </row>
    <row r="692" spans="1:1" ht="13.2">
      <c r="A692" s="70"/>
    </row>
    <row r="693" spans="1:1" ht="13.2">
      <c r="A693" s="70"/>
    </row>
    <row r="694" spans="1:1" ht="13.2">
      <c r="A694" s="70"/>
    </row>
    <row r="695" spans="1:1" ht="13.2">
      <c r="A695" s="70"/>
    </row>
    <row r="696" spans="1:1" ht="13.2">
      <c r="A696" s="70"/>
    </row>
    <row r="697" spans="1:1" ht="13.2">
      <c r="A697" s="70"/>
    </row>
    <row r="698" spans="1:1" ht="13.2">
      <c r="A698" s="70"/>
    </row>
    <row r="699" spans="1:1" ht="13.2">
      <c r="A699" s="70"/>
    </row>
    <row r="700" spans="1:1" ht="13.2">
      <c r="A700" s="70"/>
    </row>
    <row r="701" spans="1:1" ht="13.2">
      <c r="A701" s="70"/>
    </row>
    <row r="702" spans="1:1" ht="13.2">
      <c r="A702" s="70"/>
    </row>
    <row r="703" spans="1:1" ht="13.2">
      <c r="A703" s="70"/>
    </row>
    <row r="704" spans="1:1" ht="13.2">
      <c r="A704" s="70"/>
    </row>
    <row r="705" spans="1:1" ht="13.2">
      <c r="A705" s="70"/>
    </row>
    <row r="706" spans="1:1" ht="13.2">
      <c r="A706" s="70"/>
    </row>
    <row r="707" spans="1:1" ht="13.2">
      <c r="A707" s="70"/>
    </row>
    <row r="708" spans="1:1" ht="13.2">
      <c r="A708" s="70"/>
    </row>
    <row r="709" spans="1:1" ht="13.2">
      <c r="A709" s="70"/>
    </row>
    <row r="710" spans="1:1" ht="13.2">
      <c r="A710" s="70"/>
    </row>
    <row r="711" spans="1:1" ht="13.2">
      <c r="A711" s="70"/>
    </row>
    <row r="712" spans="1:1" ht="13.2">
      <c r="A712" s="70"/>
    </row>
    <row r="713" spans="1:1" ht="13.2">
      <c r="A713" s="70"/>
    </row>
    <row r="714" spans="1:1" ht="13.2">
      <c r="A714" s="70"/>
    </row>
    <row r="715" spans="1:1" ht="13.2">
      <c r="A715" s="70"/>
    </row>
    <row r="716" spans="1:1" ht="13.2">
      <c r="A716" s="70"/>
    </row>
    <row r="717" spans="1:1" ht="13.2">
      <c r="A717" s="70"/>
    </row>
    <row r="718" spans="1:1" ht="13.2">
      <c r="A718" s="70"/>
    </row>
    <row r="719" spans="1:1" ht="13.2">
      <c r="A719" s="70"/>
    </row>
    <row r="720" spans="1:1" ht="13.2">
      <c r="A720" s="70"/>
    </row>
    <row r="721" spans="1:1" ht="13.2">
      <c r="A721" s="70"/>
    </row>
    <row r="722" spans="1:1" ht="13.2">
      <c r="A722" s="70"/>
    </row>
    <row r="723" spans="1:1" ht="13.2">
      <c r="A723" s="70"/>
    </row>
    <row r="724" spans="1:1" ht="13.2">
      <c r="A724" s="70"/>
    </row>
    <row r="725" spans="1:1" ht="13.2">
      <c r="A725" s="70"/>
    </row>
    <row r="726" spans="1:1" ht="13.2">
      <c r="A726" s="70"/>
    </row>
    <row r="727" spans="1:1" ht="13.2">
      <c r="A727" s="70"/>
    </row>
    <row r="728" spans="1:1" ht="13.2">
      <c r="A728" s="70"/>
    </row>
    <row r="729" spans="1:1" ht="13.2">
      <c r="A729" s="70"/>
    </row>
    <row r="730" spans="1:1" ht="13.2">
      <c r="A730" s="70"/>
    </row>
    <row r="731" spans="1:1" ht="13.2">
      <c r="A731" s="70"/>
    </row>
    <row r="732" spans="1:1" ht="13.2">
      <c r="A732" s="70"/>
    </row>
    <row r="733" spans="1:1" ht="13.2">
      <c r="A733" s="70"/>
    </row>
    <row r="734" spans="1:1" ht="13.2">
      <c r="A734" s="70"/>
    </row>
    <row r="735" spans="1:1" ht="13.2">
      <c r="A735" s="70"/>
    </row>
    <row r="736" spans="1:1" ht="13.2">
      <c r="A736" s="70"/>
    </row>
    <row r="737" spans="1:1" ht="13.2">
      <c r="A737" s="70"/>
    </row>
    <row r="738" spans="1:1" ht="13.2">
      <c r="A738" s="70"/>
    </row>
    <row r="739" spans="1:1" ht="13.2">
      <c r="A739" s="70"/>
    </row>
    <row r="740" spans="1:1" ht="13.2">
      <c r="A740" s="70"/>
    </row>
    <row r="741" spans="1:1" ht="13.2">
      <c r="A741" s="70"/>
    </row>
    <row r="742" spans="1:1" ht="13.2">
      <c r="A742" s="70"/>
    </row>
    <row r="743" spans="1:1" ht="13.2">
      <c r="A743" s="70"/>
    </row>
    <row r="744" spans="1:1" ht="13.2">
      <c r="A744" s="70"/>
    </row>
    <row r="745" spans="1:1" ht="13.2">
      <c r="A745" s="70"/>
    </row>
    <row r="746" spans="1:1" ht="13.2">
      <c r="A746" s="70"/>
    </row>
    <row r="747" spans="1:1" ht="13.2">
      <c r="A747" s="70"/>
    </row>
    <row r="748" spans="1:1" ht="13.2">
      <c r="A748" s="70"/>
    </row>
    <row r="749" spans="1:1" ht="13.2">
      <c r="A749" s="70"/>
    </row>
    <row r="750" spans="1:1" ht="13.2">
      <c r="A750" s="70"/>
    </row>
    <row r="751" spans="1:1" ht="13.2">
      <c r="A751" s="70"/>
    </row>
    <row r="752" spans="1:1" ht="13.2">
      <c r="A752" s="70"/>
    </row>
    <row r="753" spans="1:1" ht="13.2">
      <c r="A753" s="70"/>
    </row>
    <row r="754" spans="1:1" ht="13.2">
      <c r="A754" s="70"/>
    </row>
    <row r="755" spans="1:1" ht="13.2">
      <c r="A755" s="70"/>
    </row>
    <row r="756" spans="1:1" ht="13.2">
      <c r="A756" s="70"/>
    </row>
    <row r="757" spans="1:1" ht="13.2">
      <c r="A757" s="70"/>
    </row>
    <row r="758" spans="1:1" ht="13.2">
      <c r="A758" s="70"/>
    </row>
    <row r="759" spans="1:1" ht="13.2">
      <c r="A759" s="70"/>
    </row>
    <row r="760" spans="1:1" ht="13.2">
      <c r="A760" s="70"/>
    </row>
    <row r="761" spans="1:1" ht="13.2">
      <c r="A761" s="70"/>
    </row>
    <row r="762" spans="1:1" ht="13.2">
      <c r="A762" s="70"/>
    </row>
    <row r="763" spans="1:1" ht="13.2">
      <c r="A763" s="70"/>
    </row>
    <row r="764" spans="1:1" ht="13.2">
      <c r="A764" s="70"/>
    </row>
    <row r="765" spans="1:1" ht="13.2">
      <c r="A765" s="70"/>
    </row>
    <row r="766" spans="1:1" ht="13.2">
      <c r="A766" s="70"/>
    </row>
    <row r="767" spans="1:1" ht="13.2">
      <c r="A767" s="70"/>
    </row>
    <row r="768" spans="1:1" ht="13.2">
      <c r="A768" s="70"/>
    </row>
    <row r="769" spans="1:1" ht="13.2">
      <c r="A769" s="70"/>
    </row>
    <row r="770" spans="1:1" ht="13.2">
      <c r="A770" s="70"/>
    </row>
    <row r="771" spans="1:1" ht="13.2">
      <c r="A771" s="70"/>
    </row>
    <row r="772" spans="1:1" ht="13.2">
      <c r="A772" s="70"/>
    </row>
    <row r="773" spans="1:1" ht="13.2">
      <c r="A773" s="70"/>
    </row>
    <row r="774" spans="1:1" ht="13.2">
      <c r="A774" s="70"/>
    </row>
    <row r="775" spans="1:1" ht="13.2">
      <c r="A775" s="70"/>
    </row>
    <row r="776" spans="1:1" ht="13.2">
      <c r="A776" s="70"/>
    </row>
    <row r="777" spans="1:1" ht="13.2">
      <c r="A777" s="70"/>
    </row>
    <row r="778" spans="1:1" ht="13.2">
      <c r="A778" s="70"/>
    </row>
    <row r="779" spans="1:1" ht="13.2">
      <c r="A779" s="70"/>
    </row>
    <row r="780" spans="1:1" ht="13.2">
      <c r="A780" s="70"/>
    </row>
    <row r="781" spans="1:1" ht="13.2">
      <c r="A781" s="70"/>
    </row>
    <row r="782" spans="1:1" ht="13.2">
      <c r="A782" s="70"/>
    </row>
    <row r="783" spans="1:1" ht="13.2">
      <c r="A783" s="70"/>
    </row>
    <row r="784" spans="1:1" ht="13.2">
      <c r="A784" s="70"/>
    </row>
    <row r="785" spans="1:1" ht="13.2">
      <c r="A785" s="70"/>
    </row>
    <row r="786" spans="1:1" ht="13.2">
      <c r="A786" s="70"/>
    </row>
    <row r="787" spans="1:1" ht="13.2">
      <c r="A787" s="70"/>
    </row>
    <row r="788" spans="1:1" ht="13.2">
      <c r="A788" s="70"/>
    </row>
    <row r="789" spans="1:1" ht="13.2">
      <c r="A789" s="70"/>
    </row>
    <row r="790" spans="1:1" ht="13.2">
      <c r="A790" s="70"/>
    </row>
    <row r="791" spans="1:1" ht="13.2">
      <c r="A791" s="70"/>
    </row>
    <row r="792" spans="1:1" ht="13.2">
      <c r="A792" s="70"/>
    </row>
    <row r="793" spans="1:1" ht="13.2">
      <c r="A793" s="70"/>
    </row>
    <row r="794" spans="1:1" ht="13.2">
      <c r="A794" s="70"/>
    </row>
    <row r="795" spans="1:1" ht="13.2">
      <c r="A795" s="70"/>
    </row>
    <row r="796" spans="1:1" ht="13.2">
      <c r="A796" s="70"/>
    </row>
    <row r="797" spans="1:1" ht="13.2">
      <c r="A797" s="70"/>
    </row>
    <row r="798" spans="1:1" ht="13.2">
      <c r="A798" s="70"/>
    </row>
    <row r="799" spans="1:1" ht="13.2">
      <c r="A799" s="70"/>
    </row>
    <row r="800" spans="1:1" ht="13.2">
      <c r="A800" s="70"/>
    </row>
    <row r="801" spans="1:1" ht="13.2">
      <c r="A801" s="70"/>
    </row>
    <row r="802" spans="1:1" ht="13.2">
      <c r="A802" s="70"/>
    </row>
    <row r="803" spans="1:1" ht="13.2">
      <c r="A803" s="70"/>
    </row>
    <row r="804" spans="1:1" ht="13.2">
      <c r="A804" s="70"/>
    </row>
    <row r="805" spans="1:1" ht="13.2">
      <c r="A805" s="70"/>
    </row>
    <row r="806" spans="1:1" ht="13.2">
      <c r="A806" s="70"/>
    </row>
    <row r="807" spans="1:1" ht="13.2">
      <c r="A807" s="70"/>
    </row>
    <row r="808" spans="1:1" ht="13.2">
      <c r="A808" s="70"/>
    </row>
    <row r="809" spans="1:1" ht="13.2">
      <c r="A809" s="70"/>
    </row>
    <row r="810" spans="1:1" ht="13.2">
      <c r="A810" s="70"/>
    </row>
    <row r="811" spans="1:1" ht="13.2">
      <c r="A811" s="70"/>
    </row>
    <row r="812" spans="1:1" ht="13.2">
      <c r="A812" s="70"/>
    </row>
    <row r="813" spans="1:1" ht="13.2">
      <c r="A813" s="70"/>
    </row>
    <row r="814" spans="1:1" ht="13.2">
      <c r="A814" s="70"/>
    </row>
    <row r="815" spans="1:1" ht="13.2">
      <c r="A815" s="70"/>
    </row>
    <row r="816" spans="1:1" ht="13.2">
      <c r="A816" s="70"/>
    </row>
    <row r="817" spans="1:1" ht="13.2">
      <c r="A817" s="70"/>
    </row>
    <row r="818" spans="1:1" ht="13.2">
      <c r="A818" s="70"/>
    </row>
    <row r="819" spans="1:1" ht="13.2">
      <c r="A819" s="70"/>
    </row>
    <row r="820" spans="1:1" ht="13.2">
      <c r="A820" s="70"/>
    </row>
    <row r="821" spans="1:1" ht="13.2">
      <c r="A821" s="70"/>
    </row>
    <row r="822" spans="1:1" ht="13.2">
      <c r="A822" s="70"/>
    </row>
    <row r="823" spans="1:1" ht="13.2">
      <c r="A823" s="70"/>
    </row>
    <row r="824" spans="1:1" ht="13.2">
      <c r="A824" s="70"/>
    </row>
    <row r="825" spans="1:1" ht="13.2">
      <c r="A825" s="70"/>
    </row>
    <row r="826" spans="1:1" ht="13.2">
      <c r="A826" s="70"/>
    </row>
    <row r="827" spans="1:1" ht="13.2">
      <c r="A827" s="70"/>
    </row>
    <row r="828" spans="1:1" ht="13.2">
      <c r="A828" s="70"/>
    </row>
    <row r="829" spans="1:1" ht="13.2">
      <c r="A829" s="70"/>
    </row>
    <row r="830" spans="1:1" ht="13.2">
      <c r="A830" s="70"/>
    </row>
    <row r="831" spans="1:1" ht="13.2">
      <c r="A831" s="70"/>
    </row>
    <row r="832" spans="1:1" ht="13.2">
      <c r="A832" s="70"/>
    </row>
    <row r="833" spans="1:1" ht="13.2">
      <c r="A833" s="70"/>
    </row>
    <row r="834" spans="1:1" ht="13.2">
      <c r="A834" s="70"/>
    </row>
    <row r="835" spans="1:1" ht="13.2">
      <c r="A835" s="70"/>
    </row>
    <row r="836" spans="1:1" ht="13.2">
      <c r="A836" s="70"/>
    </row>
    <row r="837" spans="1:1" ht="13.2">
      <c r="A837" s="70"/>
    </row>
    <row r="838" spans="1:1" ht="13.2">
      <c r="A838" s="70"/>
    </row>
    <row r="839" spans="1:1" ht="13.2">
      <c r="A839" s="70"/>
    </row>
    <row r="840" spans="1:1" ht="13.2">
      <c r="A840" s="70"/>
    </row>
    <row r="841" spans="1:1" ht="13.2">
      <c r="A841" s="70"/>
    </row>
    <row r="842" spans="1:1" ht="13.2">
      <c r="A842" s="70"/>
    </row>
    <row r="843" spans="1:1" ht="13.2">
      <c r="A843" s="70"/>
    </row>
    <row r="844" spans="1:1" ht="13.2">
      <c r="A844" s="70"/>
    </row>
    <row r="845" spans="1:1" ht="13.2">
      <c r="A845" s="70"/>
    </row>
    <row r="846" spans="1:1" ht="13.2">
      <c r="A846" s="70"/>
    </row>
    <row r="847" spans="1:1" ht="13.2">
      <c r="A847" s="70"/>
    </row>
    <row r="848" spans="1:1" ht="13.2">
      <c r="A848" s="70"/>
    </row>
    <row r="849" spans="1:1" ht="13.2">
      <c r="A849" s="70"/>
    </row>
    <row r="850" spans="1:1" ht="13.2">
      <c r="A850" s="70"/>
    </row>
    <row r="851" spans="1:1" ht="13.2">
      <c r="A851" s="70"/>
    </row>
    <row r="852" spans="1:1" ht="13.2">
      <c r="A852" s="70"/>
    </row>
    <row r="853" spans="1:1" ht="13.2">
      <c r="A853" s="70"/>
    </row>
    <row r="854" spans="1:1" ht="13.2">
      <c r="A854" s="70"/>
    </row>
    <row r="855" spans="1:1" ht="13.2">
      <c r="A855" s="70"/>
    </row>
    <row r="856" spans="1:1" ht="13.2">
      <c r="A856" s="70"/>
    </row>
    <row r="857" spans="1:1" ht="13.2">
      <c r="A857" s="70"/>
    </row>
    <row r="858" spans="1:1" ht="13.2">
      <c r="A858" s="70"/>
    </row>
    <row r="859" spans="1:1" ht="13.2">
      <c r="A859" s="70"/>
    </row>
    <row r="860" spans="1:1" ht="13.2">
      <c r="A860" s="70"/>
    </row>
    <row r="861" spans="1:1" ht="13.2">
      <c r="A861" s="70"/>
    </row>
    <row r="862" spans="1:1" ht="13.2">
      <c r="A862" s="70"/>
    </row>
    <row r="863" spans="1:1" ht="13.2">
      <c r="A863" s="70"/>
    </row>
    <row r="864" spans="1:1" ht="13.2">
      <c r="A864" s="70"/>
    </row>
    <row r="865" spans="1:1" ht="13.2">
      <c r="A865" s="70"/>
    </row>
    <row r="866" spans="1:1" ht="13.2">
      <c r="A866" s="70"/>
    </row>
    <row r="867" spans="1:1" ht="13.2">
      <c r="A867" s="70"/>
    </row>
    <row r="868" spans="1:1" ht="13.2">
      <c r="A868" s="70"/>
    </row>
    <row r="869" spans="1:1" ht="13.2">
      <c r="A869" s="70"/>
    </row>
    <row r="870" spans="1:1" ht="13.2">
      <c r="A870" s="70"/>
    </row>
    <row r="871" spans="1:1" ht="13.2">
      <c r="A871" s="70"/>
    </row>
    <row r="872" spans="1:1" ht="13.2">
      <c r="A872" s="70"/>
    </row>
    <row r="873" spans="1:1" ht="13.2">
      <c r="A873" s="70"/>
    </row>
    <row r="874" spans="1:1" ht="13.2">
      <c r="A874" s="70"/>
    </row>
    <row r="875" spans="1:1" ht="13.2">
      <c r="A875" s="70"/>
    </row>
    <row r="876" spans="1:1" ht="13.2">
      <c r="A876" s="70"/>
    </row>
    <row r="877" spans="1:1" ht="13.2">
      <c r="A877" s="70"/>
    </row>
    <row r="878" spans="1:1" ht="13.2">
      <c r="A878" s="70"/>
    </row>
    <row r="879" spans="1:1" ht="13.2">
      <c r="A879" s="70"/>
    </row>
    <row r="880" spans="1:1" ht="13.2">
      <c r="A880" s="70"/>
    </row>
    <row r="881" spans="1:1" ht="13.2">
      <c r="A881" s="70"/>
    </row>
    <row r="882" spans="1:1" ht="13.2">
      <c r="A882" s="70"/>
    </row>
    <row r="883" spans="1:1" ht="13.2">
      <c r="A883" s="70"/>
    </row>
    <row r="884" spans="1:1" ht="13.2">
      <c r="A884" s="70"/>
    </row>
    <row r="885" spans="1:1" ht="13.2">
      <c r="A885" s="70"/>
    </row>
    <row r="886" spans="1:1" ht="13.2">
      <c r="A886" s="70"/>
    </row>
    <row r="887" spans="1:1" ht="13.2">
      <c r="A887" s="70"/>
    </row>
    <row r="888" spans="1:1" ht="13.2">
      <c r="A888" s="70"/>
    </row>
    <row r="889" spans="1:1" ht="13.2">
      <c r="A889" s="70"/>
    </row>
    <row r="890" spans="1:1" ht="13.2">
      <c r="A890" s="70"/>
    </row>
    <row r="891" spans="1:1" ht="13.2">
      <c r="A891" s="70"/>
    </row>
    <row r="892" spans="1:1" ht="13.2">
      <c r="A892" s="70"/>
    </row>
    <row r="893" spans="1:1" ht="13.2">
      <c r="A893" s="70"/>
    </row>
    <row r="894" spans="1:1" ht="13.2">
      <c r="A894" s="70"/>
    </row>
    <row r="895" spans="1:1" ht="13.2">
      <c r="A895" s="70"/>
    </row>
    <row r="896" spans="1:1" ht="13.2">
      <c r="A896" s="70"/>
    </row>
    <row r="897" spans="1:1" ht="13.2">
      <c r="A897" s="70"/>
    </row>
    <row r="898" spans="1:1" ht="13.2">
      <c r="A898" s="70"/>
    </row>
    <row r="899" spans="1:1" ht="13.2">
      <c r="A899" s="70"/>
    </row>
    <row r="900" spans="1:1" ht="13.2">
      <c r="A900" s="70"/>
    </row>
    <row r="901" spans="1:1" ht="13.2">
      <c r="A901" s="70"/>
    </row>
    <row r="902" spans="1:1" ht="13.2">
      <c r="A902" s="70"/>
    </row>
    <row r="903" spans="1:1" ht="13.2">
      <c r="A903" s="70"/>
    </row>
    <row r="904" spans="1:1" ht="13.2">
      <c r="A904" s="70"/>
    </row>
    <row r="905" spans="1:1" ht="13.2">
      <c r="A905" s="70"/>
    </row>
    <row r="906" spans="1:1" ht="13.2">
      <c r="A906" s="70"/>
    </row>
    <row r="907" spans="1:1" ht="13.2">
      <c r="A907" s="70"/>
    </row>
    <row r="908" spans="1:1" ht="13.2">
      <c r="A908" s="70"/>
    </row>
    <row r="909" spans="1:1" ht="13.2">
      <c r="A909" s="70"/>
    </row>
    <row r="910" spans="1:1" ht="13.2">
      <c r="A910" s="70"/>
    </row>
    <row r="911" spans="1:1" ht="13.2">
      <c r="A911" s="70"/>
    </row>
    <row r="912" spans="1:1" ht="13.2">
      <c r="A912" s="70"/>
    </row>
    <row r="913" spans="1:1" ht="13.2">
      <c r="A913" s="70"/>
    </row>
    <row r="914" spans="1:1" ht="13.2">
      <c r="A914" s="70"/>
    </row>
    <row r="915" spans="1:1" ht="13.2">
      <c r="A915" s="70"/>
    </row>
    <row r="916" spans="1:1" ht="13.2">
      <c r="A916" s="70"/>
    </row>
    <row r="917" spans="1:1" ht="13.2">
      <c r="A917" s="70"/>
    </row>
    <row r="918" spans="1:1" ht="13.2">
      <c r="A918" s="70"/>
    </row>
    <row r="919" spans="1:1" ht="13.2">
      <c r="A919" s="70"/>
    </row>
    <row r="920" spans="1:1" ht="13.2">
      <c r="A920" s="70"/>
    </row>
    <row r="921" spans="1:1" ht="13.2">
      <c r="A921" s="70"/>
    </row>
    <row r="922" spans="1:1" ht="13.2">
      <c r="A922" s="70"/>
    </row>
    <row r="923" spans="1:1" ht="13.2">
      <c r="A923" s="70"/>
    </row>
    <row r="924" spans="1:1" ht="13.2">
      <c r="A924" s="70"/>
    </row>
    <row r="925" spans="1:1" ht="13.2">
      <c r="A925" s="70"/>
    </row>
    <row r="926" spans="1:1" ht="13.2">
      <c r="A926" s="70"/>
    </row>
    <row r="927" spans="1:1" ht="13.2">
      <c r="A927" s="70"/>
    </row>
    <row r="928" spans="1:1" ht="13.2">
      <c r="A928" s="70"/>
    </row>
    <row r="929" spans="1:1" ht="13.2">
      <c r="A929" s="70"/>
    </row>
    <row r="930" spans="1:1" ht="13.2">
      <c r="A930" s="70"/>
    </row>
    <row r="931" spans="1:1" ht="13.2">
      <c r="A931" s="70"/>
    </row>
    <row r="932" spans="1:1" ht="13.2">
      <c r="A932" s="70"/>
    </row>
    <row r="933" spans="1:1" ht="13.2">
      <c r="A933" s="70"/>
    </row>
    <row r="934" spans="1:1" ht="13.2">
      <c r="A934" s="70"/>
    </row>
    <row r="935" spans="1:1" ht="13.2">
      <c r="A935" s="70"/>
    </row>
    <row r="936" spans="1:1" ht="13.2">
      <c r="A936" s="70"/>
    </row>
    <row r="937" spans="1:1" ht="13.2">
      <c r="A937" s="70"/>
    </row>
    <row r="938" spans="1:1" ht="13.2">
      <c r="A938" s="70"/>
    </row>
    <row r="939" spans="1:1" ht="13.2">
      <c r="A939" s="70"/>
    </row>
    <row r="940" spans="1:1" ht="13.2">
      <c r="A940" s="70"/>
    </row>
    <row r="941" spans="1:1" ht="13.2">
      <c r="A941" s="70"/>
    </row>
    <row r="942" spans="1:1" ht="13.2">
      <c r="A942" s="70"/>
    </row>
    <row r="943" spans="1:1" ht="13.2">
      <c r="A943" s="70"/>
    </row>
    <row r="944" spans="1:1" ht="13.2">
      <c r="A944" s="70"/>
    </row>
    <row r="945" spans="1:1" ht="13.2">
      <c r="A945" s="70"/>
    </row>
    <row r="946" spans="1:1" ht="13.2">
      <c r="A946" s="70"/>
    </row>
    <row r="947" spans="1:1" ht="13.2">
      <c r="A947" s="70"/>
    </row>
    <row r="948" spans="1:1" ht="13.2">
      <c r="A948" s="70"/>
    </row>
    <row r="949" spans="1:1" ht="13.2">
      <c r="A949" s="70"/>
    </row>
    <row r="950" spans="1:1" ht="13.2">
      <c r="A950" s="70"/>
    </row>
    <row r="951" spans="1:1" ht="13.2">
      <c r="A951" s="70"/>
    </row>
    <row r="952" spans="1:1" ht="13.2">
      <c r="A952" s="70"/>
    </row>
    <row r="953" spans="1:1" ht="13.2">
      <c r="A953" s="70"/>
    </row>
    <row r="954" spans="1:1" ht="13.2">
      <c r="A954" s="70"/>
    </row>
    <row r="955" spans="1:1" ht="13.2">
      <c r="A955" s="70"/>
    </row>
    <row r="956" spans="1:1" ht="13.2">
      <c r="A956" s="70"/>
    </row>
    <row r="957" spans="1:1" ht="13.2">
      <c r="A957" s="70"/>
    </row>
    <row r="958" spans="1:1" ht="13.2">
      <c r="A958" s="70"/>
    </row>
    <row r="959" spans="1:1" ht="13.2">
      <c r="A959" s="70"/>
    </row>
    <row r="960" spans="1:1" ht="13.2">
      <c r="A960" s="70"/>
    </row>
    <row r="961" spans="1:1" ht="13.2">
      <c r="A961" s="70"/>
    </row>
    <row r="962" spans="1:1" ht="13.2">
      <c r="A962" s="70"/>
    </row>
    <row r="963" spans="1:1" ht="13.2">
      <c r="A963" s="70"/>
    </row>
    <row r="964" spans="1:1" ht="13.2">
      <c r="A964" s="70"/>
    </row>
    <row r="965" spans="1:1" ht="13.2">
      <c r="A965" s="70"/>
    </row>
    <row r="966" spans="1:1" ht="13.2">
      <c r="A966" s="70"/>
    </row>
    <row r="967" spans="1:1" ht="13.2">
      <c r="A967" s="70"/>
    </row>
    <row r="968" spans="1:1" ht="13.2">
      <c r="A968" s="70"/>
    </row>
    <row r="969" spans="1:1" ht="13.2">
      <c r="A969" s="70"/>
    </row>
    <row r="970" spans="1:1" ht="13.2">
      <c r="A970" s="70"/>
    </row>
    <row r="971" spans="1:1" ht="13.2">
      <c r="A971" s="70"/>
    </row>
    <row r="972" spans="1:1" ht="13.2">
      <c r="A972" s="70"/>
    </row>
    <row r="973" spans="1:1" ht="13.2">
      <c r="A973" s="70"/>
    </row>
    <row r="974" spans="1:1" ht="13.2">
      <c r="A974" s="70"/>
    </row>
    <row r="975" spans="1:1" ht="13.2">
      <c r="A975" s="70"/>
    </row>
    <row r="976" spans="1:1" ht="13.2">
      <c r="A976" s="70"/>
    </row>
    <row r="977" spans="1:1" ht="13.2">
      <c r="A977" s="70"/>
    </row>
    <row r="978" spans="1:1" ht="13.2">
      <c r="A978" s="70"/>
    </row>
    <row r="979" spans="1:1" ht="13.2">
      <c r="A979" s="70"/>
    </row>
    <row r="980" spans="1:1" ht="13.2">
      <c r="A980" s="70"/>
    </row>
    <row r="981" spans="1:1" ht="13.2">
      <c r="A981" s="70"/>
    </row>
    <row r="982" spans="1:1" ht="13.2">
      <c r="A982" s="70"/>
    </row>
    <row r="983" spans="1:1" ht="13.2">
      <c r="A983" s="70"/>
    </row>
    <row r="984" spans="1:1" ht="13.2">
      <c r="A984" s="70"/>
    </row>
    <row r="985" spans="1:1" ht="13.2">
      <c r="A985" s="70"/>
    </row>
    <row r="986" spans="1:1" ht="13.2">
      <c r="A986" s="70"/>
    </row>
    <row r="987" spans="1:1" ht="13.2">
      <c r="A987" s="70"/>
    </row>
    <row r="988" spans="1:1" ht="13.2">
      <c r="A988" s="70"/>
    </row>
    <row r="989" spans="1:1" ht="13.2">
      <c r="A989" s="70"/>
    </row>
    <row r="990" spans="1:1" ht="13.2">
      <c r="A990" s="70"/>
    </row>
    <row r="991" spans="1:1" ht="13.2">
      <c r="A991" s="70"/>
    </row>
    <row r="992" spans="1:1" ht="13.2">
      <c r="A992" s="70"/>
    </row>
    <row r="993" spans="1:1" ht="13.2">
      <c r="A993" s="70"/>
    </row>
    <row r="994" spans="1:1" ht="13.2">
      <c r="A994" s="70"/>
    </row>
    <row r="995" spans="1:1" ht="13.2">
      <c r="A995" s="70"/>
    </row>
    <row r="996" spans="1:1" ht="13.2">
      <c r="A996" s="70"/>
    </row>
    <row r="997" spans="1:1" ht="13.2">
      <c r="A997" s="70"/>
    </row>
    <row r="998" spans="1:1" ht="13.2">
      <c r="A998" s="70"/>
    </row>
    <row r="999" spans="1:1" ht="13.2">
      <c r="A999" s="70"/>
    </row>
    <row r="1000" spans="1:1" ht="13.2">
      <c r="A1000" s="70"/>
    </row>
  </sheetData>
  <mergeCells count="2">
    <mergeCell ref="B3:C3"/>
    <mergeCell ref="F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4:G12"/>
  <sheetViews>
    <sheetView workbookViewId="0"/>
  </sheetViews>
  <sheetFormatPr defaultColWidth="12.6640625" defaultRowHeight="15.75" customHeight="1"/>
  <cols>
    <col min="2" max="2" width="10.44140625" customWidth="1"/>
    <col min="3" max="3" width="24.6640625" customWidth="1"/>
    <col min="5" max="5" width="33.88671875" customWidth="1"/>
  </cols>
  <sheetData>
    <row r="4" spans="1:7">
      <c r="A4" s="81" t="s">
        <v>3</v>
      </c>
      <c r="B4" s="81" t="s">
        <v>225</v>
      </c>
      <c r="C4" s="81" t="s">
        <v>226</v>
      </c>
      <c r="D4" s="81" t="s">
        <v>225</v>
      </c>
      <c r="E4" s="81" t="s">
        <v>227</v>
      </c>
    </row>
    <row r="5" spans="1:7">
      <c r="A5" s="145" t="s">
        <v>228</v>
      </c>
      <c r="B5" s="146" t="e">
        <f>COUNTIF('Participant Submissions'!#REF!,"Pass")</f>
        <v>#REF!</v>
      </c>
      <c r="C5" s="82" t="s">
        <v>229</v>
      </c>
      <c r="D5" s="83" t="e">
        <f>COUNTIF('Participant Submissions'!#REF!,"Sent")</f>
        <v>#REF!</v>
      </c>
      <c r="E5" s="67"/>
    </row>
    <row r="6" spans="1:7">
      <c r="A6" s="143"/>
      <c r="B6" s="143"/>
      <c r="C6" s="82" t="s">
        <v>230</v>
      </c>
      <c r="D6" s="83" t="e">
        <f>COUNTIF('Participant Submissions'!#REF!,"To Be Sent")</f>
        <v>#REF!</v>
      </c>
      <c r="E6" s="67" t="s">
        <v>231</v>
      </c>
    </row>
    <row r="7" spans="1:7">
      <c r="A7" s="147" t="s">
        <v>232</v>
      </c>
      <c r="B7" s="146" t="e">
        <f>56-B5-B9</f>
        <v>#REF!</v>
      </c>
      <c r="C7" s="67" t="s">
        <v>233</v>
      </c>
      <c r="D7" s="83">
        <v>4</v>
      </c>
      <c r="E7" s="67" t="s">
        <v>234</v>
      </c>
    </row>
    <row r="8" spans="1:7">
      <c r="A8" s="143"/>
      <c r="B8" s="143"/>
      <c r="C8" s="67" t="s">
        <v>235</v>
      </c>
      <c r="D8" s="83">
        <v>1</v>
      </c>
      <c r="E8" s="67" t="s">
        <v>236</v>
      </c>
    </row>
    <row r="9" spans="1:7">
      <c r="A9" s="148" t="s">
        <v>237</v>
      </c>
      <c r="B9" s="146" t="e">
        <f>COUNTIF('Participant Submissions'!#REF!,"Yet to Present")</f>
        <v>#REF!</v>
      </c>
      <c r="C9" s="67" t="s">
        <v>238</v>
      </c>
      <c r="D9" s="83">
        <v>2</v>
      </c>
      <c r="E9" s="67" t="s">
        <v>239</v>
      </c>
    </row>
    <row r="10" spans="1:7">
      <c r="A10" s="143"/>
      <c r="B10" s="143"/>
      <c r="C10" s="67" t="s">
        <v>240</v>
      </c>
      <c r="D10" s="83">
        <v>3</v>
      </c>
      <c r="E10" s="67" t="s">
        <v>241</v>
      </c>
    </row>
    <row r="11" spans="1:7">
      <c r="A11" s="84" t="s">
        <v>242</v>
      </c>
      <c r="B11" s="78">
        <v>56</v>
      </c>
      <c r="C11" s="78" t="s">
        <v>243</v>
      </c>
      <c r="D11" s="78">
        <v>56</v>
      </c>
      <c r="E11" s="78" t="s">
        <v>243</v>
      </c>
    </row>
    <row r="12" spans="1:7">
      <c r="G12" s="85"/>
    </row>
  </sheetData>
  <mergeCells count="6">
    <mergeCell ref="A5:A6"/>
    <mergeCell ref="B5:B6"/>
    <mergeCell ref="A7:A8"/>
    <mergeCell ref="B7:B8"/>
    <mergeCell ref="A9:A10"/>
    <mergeCell ref="B9:B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00FF"/>
    <outlinePr summaryBelow="0" summaryRight="0"/>
  </sheetPr>
  <dimension ref="A1:V979"/>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640625" defaultRowHeight="15.75" customHeight="1"/>
  <cols>
    <col min="1" max="1" width="3.33203125" customWidth="1"/>
    <col min="2" max="2" width="19" customWidth="1"/>
    <col min="3" max="3" width="8" customWidth="1"/>
    <col min="4" max="4" width="16.21875" hidden="1" customWidth="1"/>
    <col min="5" max="5" width="48.33203125" customWidth="1"/>
    <col min="6" max="6" width="51.88671875" customWidth="1"/>
    <col min="7" max="7" width="12.6640625" hidden="1"/>
    <col min="8" max="8" width="24.33203125" hidden="1" customWidth="1"/>
    <col min="9" max="9" width="25.6640625" hidden="1" customWidth="1"/>
    <col min="10" max="10" width="47.44140625" hidden="1" customWidth="1"/>
    <col min="11" max="11" width="16" hidden="1" customWidth="1"/>
    <col min="12" max="12" width="12.6640625" hidden="1"/>
    <col min="13" max="13" width="34" hidden="1" customWidth="1"/>
    <col min="14" max="14" width="105.109375" customWidth="1"/>
    <col min="15" max="15" width="33.21875" customWidth="1"/>
    <col min="16" max="16" width="32" customWidth="1"/>
    <col min="17" max="17" width="29" customWidth="1"/>
    <col min="18" max="18" width="32.109375" customWidth="1"/>
  </cols>
  <sheetData>
    <row r="1" spans="1:22" ht="52.8">
      <c r="A1" s="2"/>
      <c r="B1" s="86" t="s">
        <v>244</v>
      </c>
      <c r="C1" s="2" t="s">
        <v>2</v>
      </c>
      <c r="D1" s="3" t="s">
        <v>3</v>
      </c>
      <c r="E1" s="3" t="s">
        <v>4</v>
      </c>
      <c r="F1" s="3" t="s">
        <v>245</v>
      </c>
      <c r="G1" s="2" t="s">
        <v>246</v>
      </c>
      <c r="H1" s="87" t="s">
        <v>7</v>
      </c>
      <c r="I1" s="87" t="s">
        <v>8</v>
      </c>
      <c r="J1" s="87" t="s">
        <v>9</v>
      </c>
      <c r="K1" s="2" t="s">
        <v>247</v>
      </c>
      <c r="L1" s="88"/>
      <c r="M1" s="89" t="s">
        <v>248</v>
      </c>
      <c r="N1" s="1" t="s">
        <v>249</v>
      </c>
      <c r="O1" s="4" t="s">
        <v>5</v>
      </c>
      <c r="P1" s="5" t="s">
        <v>6</v>
      </c>
      <c r="Q1" s="5" t="s">
        <v>250</v>
      </c>
      <c r="R1" s="5" t="s">
        <v>251</v>
      </c>
      <c r="S1" s="88"/>
      <c r="T1" s="88"/>
      <c r="U1" s="88"/>
      <c r="V1" s="88"/>
    </row>
    <row r="2" spans="1:22" ht="26.4" hidden="1">
      <c r="A2" s="6"/>
      <c r="B2" s="6"/>
      <c r="C2" s="6"/>
      <c r="D2" s="6"/>
      <c r="E2" s="6" t="s">
        <v>252</v>
      </c>
      <c r="F2" s="6" t="s">
        <v>252</v>
      </c>
      <c r="G2" s="6" t="s">
        <v>253</v>
      </c>
      <c r="H2" s="6" t="s">
        <v>254</v>
      </c>
      <c r="I2" s="6" t="s">
        <v>254</v>
      </c>
      <c r="J2" s="6" t="s">
        <v>254</v>
      </c>
      <c r="K2" s="6"/>
      <c r="L2" s="90"/>
      <c r="M2" s="6"/>
      <c r="N2" s="6"/>
      <c r="O2" s="7" t="s">
        <v>255</v>
      </c>
      <c r="P2" s="7" t="s">
        <v>255</v>
      </c>
      <c r="Q2" s="7" t="s">
        <v>255</v>
      </c>
      <c r="R2" s="7" t="s">
        <v>255</v>
      </c>
      <c r="S2" s="90"/>
      <c r="T2" s="90"/>
      <c r="U2" s="90"/>
      <c r="V2" s="90"/>
    </row>
    <row r="3" spans="1:22" ht="96.6" hidden="1">
      <c r="A3" s="12">
        <v>1</v>
      </c>
      <c r="B3" s="91" t="s">
        <v>256</v>
      </c>
      <c r="C3" s="14">
        <v>1</v>
      </c>
      <c r="D3" s="26"/>
      <c r="E3" s="41" t="s">
        <v>257</v>
      </c>
      <c r="F3" s="15" t="s">
        <v>258</v>
      </c>
      <c r="G3" s="15"/>
      <c r="H3" s="15"/>
      <c r="I3" s="15"/>
      <c r="J3" s="15"/>
      <c r="K3" s="15"/>
      <c r="L3" s="16"/>
      <c r="M3" s="26"/>
      <c r="N3" s="15" t="s">
        <v>259</v>
      </c>
      <c r="O3" s="92"/>
      <c r="P3" s="57"/>
      <c r="Q3" s="57"/>
      <c r="R3" s="57"/>
      <c r="S3" s="16"/>
      <c r="T3" s="16"/>
      <c r="U3" s="16"/>
      <c r="V3" s="16"/>
    </row>
    <row r="4" spans="1:22" ht="105.6" hidden="1">
      <c r="A4" s="12">
        <v>2</v>
      </c>
      <c r="B4" s="46" t="s">
        <v>260</v>
      </c>
      <c r="C4" s="14">
        <v>1</v>
      </c>
      <c r="D4" s="26"/>
      <c r="E4" s="15" t="s">
        <v>261</v>
      </c>
      <c r="F4" s="15" t="s">
        <v>262</v>
      </c>
      <c r="G4" s="15"/>
      <c r="H4" s="15"/>
      <c r="I4" s="15"/>
      <c r="J4" s="15"/>
      <c r="K4" s="16"/>
      <c r="L4" s="16"/>
      <c r="M4" s="26"/>
      <c r="N4" s="15" t="s">
        <v>263</v>
      </c>
      <c r="O4" s="15"/>
      <c r="P4" s="15"/>
      <c r="Q4" s="15"/>
      <c r="R4" s="15"/>
      <c r="S4" s="16"/>
      <c r="T4" s="16"/>
      <c r="U4" s="16"/>
      <c r="V4" s="16"/>
    </row>
    <row r="5" spans="1:22" ht="132" hidden="1">
      <c r="A5" s="12">
        <v>3</v>
      </c>
      <c r="B5" s="46" t="s">
        <v>264</v>
      </c>
      <c r="C5" s="14">
        <v>1</v>
      </c>
      <c r="D5" s="26"/>
      <c r="E5" s="15" t="s">
        <v>265</v>
      </c>
      <c r="F5" s="15" t="s">
        <v>266</v>
      </c>
      <c r="G5" s="15"/>
      <c r="H5" s="15"/>
      <c r="I5" s="15"/>
      <c r="J5" s="15"/>
      <c r="K5" s="15"/>
      <c r="L5" s="16"/>
      <c r="M5" s="26"/>
      <c r="N5" s="15" t="s">
        <v>267</v>
      </c>
      <c r="O5" s="15"/>
      <c r="P5" s="15"/>
      <c r="Q5" s="15"/>
      <c r="R5" s="15"/>
      <c r="S5" s="16"/>
      <c r="T5" s="16"/>
      <c r="U5" s="16"/>
      <c r="V5" s="16"/>
    </row>
    <row r="6" spans="1:22" ht="52.8" hidden="1">
      <c r="A6" s="12">
        <v>4</v>
      </c>
      <c r="B6" s="26" t="s">
        <v>268</v>
      </c>
      <c r="C6" s="14">
        <v>1</v>
      </c>
      <c r="D6" s="26"/>
      <c r="E6" s="26" t="s">
        <v>269</v>
      </c>
      <c r="F6" s="26" t="s">
        <v>270</v>
      </c>
      <c r="G6" s="26"/>
      <c r="H6" s="26"/>
      <c r="I6" s="26"/>
      <c r="J6" s="26"/>
      <c r="K6" s="26"/>
      <c r="L6" s="28"/>
      <c r="M6" s="26"/>
      <c r="N6" s="26" t="s">
        <v>271</v>
      </c>
      <c r="O6" s="26"/>
      <c r="P6" s="26"/>
      <c r="Q6" s="26"/>
      <c r="R6" s="26"/>
      <c r="S6" s="28"/>
      <c r="T6" s="28"/>
      <c r="U6" s="28"/>
      <c r="V6" s="28"/>
    </row>
    <row r="7" spans="1:22" ht="132" hidden="1">
      <c r="A7" s="12">
        <v>5</v>
      </c>
      <c r="B7" s="26" t="s">
        <v>272</v>
      </c>
      <c r="C7" s="14">
        <v>1</v>
      </c>
      <c r="D7" s="26"/>
      <c r="E7" s="26" t="s">
        <v>273</v>
      </c>
      <c r="F7" s="26" t="s">
        <v>274</v>
      </c>
      <c r="G7" s="26"/>
      <c r="H7" s="26"/>
      <c r="I7" s="28"/>
      <c r="J7" s="26"/>
      <c r="K7" s="26"/>
      <c r="L7" s="28"/>
      <c r="M7" s="26"/>
      <c r="N7" s="26" t="s">
        <v>275</v>
      </c>
      <c r="O7" s="26"/>
      <c r="P7" s="26"/>
      <c r="Q7" s="26"/>
      <c r="R7" s="26"/>
      <c r="S7" s="28"/>
      <c r="T7" s="28"/>
      <c r="U7" s="28"/>
      <c r="V7" s="28"/>
    </row>
    <row r="8" spans="1:22" ht="171.6" hidden="1">
      <c r="A8" s="12">
        <v>6</v>
      </c>
      <c r="B8" s="46" t="s">
        <v>276</v>
      </c>
      <c r="C8" s="14">
        <v>2</v>
      </c>
      <c r="D8" s="26"/>
      <c r="E8" s="15" t="s">
        <v>277</v>
      </c>
      <c r="F8" s="15" t="s">
        <v>278</v>
      </c>
      <c r="G8" s="15"/>
      <c r="H8" s="15"/>
      <c r="I8" s="15"/>
      <c r="J8" s="15"/>
      <c r="K8" s="15"/>
      <c r="L8" s="16"/>
      <c r="M8" s="26"/>
      <c r="N8" s="15" t="s">
        <v>279</v>
      </c>
      <c r="O8" s="15"/>
      <c r="P8" s="15"/>
      <c r="Q8" s="15"/>
      <c r="R8" s="15"/>
      <c r="S8" s="16"/>
      <c r="T8" s="16"/>
      <c r="U8" s="16"/>
      <c r="V8" s="16"/>
    </row>
    <row r="9" spans="1:22" ht="132" hidden="1">
      <c r="A9" s="12">
        <v>7</v>
      </c>
      <c r="B9" s="46" t="s">
        <v>280</v>
      </c>
      <c r="C9" s="14">
        <v>2</v>
      </c>
      <c r="D9" s="26"/>
      <c r="E9" s="33" t="s">
        <v>281</v>
      </c>
      <c r="F9" s="15" t="s">
        <v>282</v>
      </c>
      <c r="G9" s="15"/>
      <c r="H9" s="15"/>
      <c r="I9" s="15"/>
      <c r="J9" s="15"/>
      <c r="K9" s="15"/>
      <c r="L9" s="16"/>
      <c r="M9" s="26"/>
      <c r="N9" s="15" t="s">
        <v>283</v>
      </c>
      <c r="O9" s="15"/>
      <c r="P9" s="15"/>
      <c r="Q9" s="15"/>
      <c r="R9" s="15"/>
      <c r="S9" s="16"/>
      <c r="T9" s="16"/>
      <c r="U9" s="16"/>
      <c r="V9" s="16"/>
    </row>
    <row r="10" spans="1:22" ht="92.4" hidden="1">
      <c r="A10" s="12">
        <v>8</v>
      </c>
      <c r="B10" s="46" t="s">
        <v>284</v>
      </c>
      <c r="C10" s="14">
        <v>2</v>
      </c>
      <c r="D10" s="26"/>
      <c r="E10" s="15" t="s">
        <v>285</v>
      </c>
      <c r="F10" s="15" t="s">
        <v>286</v>
      </c>
      <c r="G10" s="15"/>
      <c r="H10" s="15"/>
      <c r="I10" s="15"/>
      <c r="J10" s="15"/>
      <c r="K10" s="15"/>
      <c r="L10" s="16"/>
      <c r="M10" s="26"/>
      <c r="N10" s="15" t="s">
        <v>287</v>
      </c>
      <c r="O10" s="15"/>
      <c r="P10" s="15"/>
      <c r="Q10" s="15"/>
      <c r="R10" s="15"/>
      <c r="S10" s="16"/>
      <c r="T10" s="16"/>
      <c r="U10" s="16"/>
      <c r="V10" s="16"/>
    </row>
    <row r="11" spans="1:22" ht="118.8" hidden="1">
      <c r="A11" s="12">
        <v>9</v>
      </c>
      <c r="B11" s="46" t="s">
        <v>288</v>
      </c>
      <c r="C11" s="14">
        <v>2</v>
      </c>
      <c r="D11" s="26"/>
      <c r="E11" s="15" t="s">
        <v>289</v>
      </c>
      <c r="F11" s="15" t="s">
        <v>290</v>
      </c>
      <c r="G11" s="15"/>
      <c r="H11" s="15"/>
      <c r="I11" s="93"/>
      <c r="J11" s="15"/>
      <c r="K11" s="15"/>
      <c r="L11" s="16"/>
      <c r="M11" s="26"/>
      <c r="N11" s="15" t="s">
        <v>291</v>
      </c>
      <c r="O11" s="15"/>
      <c r="P11" s="15"/>
      <c r="Q11" s="15"/>
      <c r="R11" s="15"/>
      <c r="S11" s="16"/>
      <c r="T11" s="16"/>
      <c r="U11" s="16"/>
      <c r="V11" s="16"/>
    </row>
    <row r="12" spans="1:22" ht="277.2" hidden="1">
      <c r="A12" s="12">
        <v>10</v>
      </c>
      <c r="B12" s="46" t="s">
        <v>292</v>
      </c>
      <c r="C12" s="14">
        <v>2</v>
      </c>
      <c r="D12" s="26"/>
      <c r="E12" s="15" t="s">
        <v>293</v>
      </c>
      <c r="F12" s="15" t="s">
        <v>294</v>
      </c>
      <c r="G12" s="15"/>
      <c r="H12" s="15"/>
      <c r="I12" s="15"/>
      <c r="J12" s="15"/>
      <c r="K12" s="15"/>
      <c r="L12" s="16"/>
      <c r="M12" s="26"/>
      <c r="N12" s="15" t="s">
        <v>295</v>
      </c>
      <c r="O12" s="15"/>
      <c r="P12" s="15"/>
      <c r="Q12" s="15"/>
      <c r="R12" s="15"/>
      <c r="S12" s="16"/>
      <c r="T12" s="16"/>
      <c r="U12" s="16"/>
      <c r="V12" s="16"/>
    </row>
    <row r="13" spans="1:22" ht="211.2">
      <c r="A13" s="12">
        <v>11</v>
      </c>
      <c r="B13" s="31" t="s">
        <v>296</v>
      </c>
      <c r="C13" s="14">
        <v>3</v>
      </c>
      <c r="D13" s="26"/>
      <c r="E13" s="15" t="s">
        <v>297</v>
      </c>
      <c r="F13" s="15" t="s">
        <v>298</v>
      </c>
      <c r="G13" s="15"/>
      <c r="H13" s="15"/>
      <c r="I13" s="15"/>
      <c r="J13" s="15"/>
      <c r="K13" s="15"/>
      <c r="L13" s="16"/>
      <c r="M13" s="26"/>
      <c r="N13" s="15" t="s">
        <v>299</v>
      </c>
      <c r="O13" s="15"/>
      <c r="P13" s="15" t="s">
        <v>300</v>
      </c>
      <c r="Q13" s="15" t="s">
        <v>301</v>
      </c>
      <c r="R13" s="15" t="s">
        <v>302</v>
      </c>
      <c r="S13" s="16"/>
      <c r="T13" s="16"/>
      <c r="U13" s="16"/>
      <c r="V13" s="16"/>
    </row>
    <row r="14" spans="1:22" ht="105.6">
      <c r="A14" s="12">
        <v>12</v>
      </c>
      <c r="B14" s="94" t="s">
        <v>303</v>
      </c>
      <c r="C14" s="14">
        <v>3</v>
      </c>
      <c r="D14" s="26"/>
      <c r="E14" s="15" t="s">
        <v>304</v>
      </c>
      <c r="F14" s="15" t="s">
        <v>305</v>
      </c>
      <c r="G14" s="15"/>
      <c r="H14" s="15"/>
      <c r="I14" s="15"/>
      <c r="J14" s="15"/>
      <c r="K14" s="15"/>
      <c r="L14" s="16"/>
      <c r="M14" s="26"/>
      <c r="N14" s="15" t="s">
        <v>306</v>
      </c>
      <c r="O14" s="15"/>
      <c r="P14" s="15"/>
      <c r="Q14" s="15"/>
      <c r="R14" s="15"/>
      <c r="S14" s="16"/>
      <c r="T14" s="16"/>
      <c r="U14" s="16"/>
      <c r="V14" s="16"/>
    </row>
    <row r="15" spans="1:22" ht="145.19999999999999">
      <c r="A15" s="12">
        <v>13</v>
      </c>
      <c r="B15" s="46" t="s">
        <v>307</v>
      </c>
      <c r="C15" s="14">
        <v>3</v>
      </c>
      <c r="D15" s="26"/>
      <c r="E15" s="15" t="s">
        <v>308</v>
      </c>
      <c r="F15" s="15" t="s">
        <v>309</v>
      </c>
      <c r="G15" s="15"/>
      <c r="H15" s="15"/>
      <c r="I15" s="15"/>
      <c r="J15" s="15"/>
      <c r="K15" s="15"/>
      <c r="L15" s="16"/>
      <c r="M15" s="26"/>
      <c r="N15" s="15" t="s">
        <v>310</v>
      </c>
      <c r="O15" s="15"/>
      <c r="P15" s="15"/>
      <c r="Q15" s="15"/>
      <c r="R15" s="15"/>
      <c r="S15" s="16"/>
      <c r="T15" s="16"/>
      <c r="U15" s="16"/>
      <c r="V15" s="16"/>
    </row>
    <row r="16" spans="1:22" ht="129" customHeight="1">
      <c r="A16" s="12">
        <v>14</v>
      </c>
      <c r="B16" s="26" t="s">
        <v>311</v>
      </c>
      <c r="C16" s="14">
        <v>3</v>
      </c>
      <c r="D16" s="26"/>
      <c r="E16" s="26" t="s">
        <v>312</v>
      </c>
      <c r="F16" s="26" t="s">
        <v>313</v>
      </c>
      <c r="G16" s="26"/>
      <c r="H16" s="26"/>
      <c r="I16" s="26"/>
      <c r="J16" s="26"/>
      <c r="K16" s="26"/>
      <c r="L16" s="28"/>
      <c r="M16" s="26"/>
      <c r="N16" s="26"/>
      <c r="O16" s="26"/>
      <c r="P16" s="26"/>
      <c r="Q16" s="26"/>
      <c r="R16" s="26"/>
      <c r="S16" s="28"/>
      <c r="T16" s="28"/>
      <c r="U16" s="28"/>
      <c r="V16" s="28"/>
    </row>
    <row r="17" spans="1:22" ht="409.6">
      <c r="A17" s="12">
        <v>15</v>
      </c>
      <c r="B17" s="46" t="s">
        <v>314</v>
      </c>
      <c r="C17" s="14">
        <v>3</v>
      </c>
      <c r="D17" s="26"/>
      <c r="E17" s="42" t="s">
        <v>315</v>
      </c>
      <c r="F17" s="42" t="s">
        <v>316</v>
      </c>
      <c r="G17" s="42"/>
      <c r="H17" s="42"/>
      <c r="I17" s="42"/>
      <c r="J17" s="42"/>
      <c r="K17" s="42"/>
      <c r="L17" s="35"/>
      <c r="M17" s="41"/>
      <c r="N17" s="95" t="s">
        <v>317</v>
      </c>
      <c r="O17" s="15" t="s">
        <v>318</v>
      </c>
      <c r="P17" s="15" t="s">
        <v>319</v>
      </c>
      <c r="Q17" s="15" t="s">
        <v>320</v>
      </c>
      <c r="R17" s="15" t="s">
        <v>321</v>
      </c>
      <c r="S17" s="16"/>
      <c r="T17" s="16"/>
      <c r="U17" s="16"/>
      <c r="V17" s="16"/>
    </row>
    <row r="18" spans="1:22" ht="409.6" hidden="1">
      <c r="A18" s="12">
        <v>16</v>
      </c>
      <c r="B18" s="24" t="s">
        <v>322</v>
      </c>
      <c r="C18" s="14">
        <v>4</v>
      </c>
      <c r="D18" s="26"/>
      <c r="E18" s="15" t="s">
        <v>323</v>
      </c>
      <c r="F18" s="17" t="s">
        <v>324</v>
      </c>
      <c r="G18" s="15"/>
      <c r="H18" s="15"/>
      <c r="I18" s="15"/>
      <c r="J18" s="15"/>
      <c r="K18" s="15"/>
      <c r="L18" s="16"/>
      <c r="M18" s="26"/>
      <c r="N18" s="18" t="s">
        <v>325</v>
      </c>
      <c r="O18" s="15"/>
      <c r="P18" s="15"/>
      <c r="Q18" s="15"/>
      <c r="R18" s="15"/>
      <c r="S18" s="16"/>
      <c r="T18" s="16"/>
      <c r="U18" s="16"/>
      <c r="V18" s="16"/>
    </row>
    <row r="19" spans="1:22" ht="409.6" hidden="1">
      <c r="A19" s="12">
        <v>17</v>
      </c>
      <c r="B19" s="91" t="s">
        <v>326</v>
      </c>
      <c r="C19" s="14">
        <v>4</v>
      </c>
      <c r="D19" s="26"/>
      <c r="E19" s="15" t="s">
        <v>327</v>
      </c>
      <c r="F19" s="15" t="s">
        <v>328</v>
      </c>
      <c r="G19" s="15"/>
      <c r="H19" s="15"/>
      <c r="I19" s="15"/>
      <c r="J19" s="15"/>
      <c r="K19" s="15"/>
      <c r="L19" s="16"/>
      <c r="M19" s="26"/>
      <c r="N19" s="18" t="s">
        <v>329</v>
      </c>
      <c r="O19" s="15"/>
      <c r="P19" s="15"/>
      <c r="Q19" s="15"/>
      <c r="R19" s="15"/>
      <c r="S19" s="16"/>
      <c r="T19" s="16"/>
      <c r="U19" s="16"/>
      <c r="V19" s="16"/>
    </row>
    <row r="20" spans="1:22" ht="409.6" hidden="1">
      <c r="A20" s="12">
        <v>18</v>
      </c>
      <c r="B20" s="46" t="s">
        <v>330</v>
      </c>
      <c r="C20" s="14">
        <v>4</v>
      </c>
      <c r="D20" s="26"/>
      <c r="E20" s="15" t="s">
        <v>331</v>
      </c>
      <c r="F20" s="15" t="s">
        <v>332</v>
      </c>
      <c r="G20" s="15"/>
      <c r="H20" s="15"/>
      <c r="I20" s="15"/>
      <c r="J20" s="15"/>
      <c r="K20" s="15"/>
      <c r="L20" s="16"/>
      <c r="M20" s="26"/>
      <c r="N20" s="18" t="s">
        <v>333</v>
      </c>
      <c r="O20" s="15"/>
      <c r="P20" s="15"/>
      <c r="Q20" s="15"/>
      <c r="R20" s="15"/>
      <c r="S20" s="16"/>
      <c r="T20" s="16"/>
      <c r="U20" s="16"/>
      <c r="V20" s="16"/>
    </row>
    <row r="21" spans="1:22" ht="409.6" hidden="1">
      <c r="A21" s="12">
        <v>19</v>
      </c>
      <c r="B21" s="26" t="s">
        <v>334</v>
      </c>
      <c r="C21" s="14">
        <v>4</v>
      </c>
      <c r="D21" s="26"/>
      <c r="E21" s="26" t="s">
        <v>335</v>
      </c>
      <c r="F21" s="26" t="s">
        <v>336</v>
      </c>
      <c r="G21" s="26"/>
      <c r="H21" s="26"/>
      <c r="I21" s="26"/>
      <c r="J21" s="26"/>
      <c r="K21" s="26"/>
      <c r="L21" s="28"/>
      <c r="M21" s="26"/>
      <c r="N21" s="32" t="s">
        <v>337</v>
      </c>
      <c r="O21" s="26"/>
      <c r="P21" s="26"/>
      <c r="Q21" s="26"/>
      <c r="R21" s="26"/>
      <c r="S21" s="28"/>
      <c r="T21" s="28"/>
      <c r="U21" s="28"/>
      <c r="V21" s="28"/>
    </row>
    <row r="22" spans="1:22" ht="250.8" hidden="1">
      <c r="A22" s="12">
        <v>20</v>
      </c>
      <c r="B22" s="46" t="s">
        <v>338</v>
      </c>
      <c r="C22" s="14">
        <v>5</v>
      </c>
      <c r="D22" s="26"/>
      <c r="E22" s="15" t="s">
        <v>339</v>
      </c>
      <c r="F22" s="15" t="s">
        <v>340</v>
      </c>
      <c r="G22" s="15"/>
      <c r="H22" s="15"/>
      <c r="I22" s="15"/>
      <c r="J22" s="15"/>
      <c r="K22" s="15"/>
      <c r="L22" s="16"/>
      <c r="M22" s="26"/>
      <c r="N22" s="15" t="s">
        <v>341</v>
      </c>
      <c r="O22" s="15"/>
      <c r="P22" s="15"/>
      <c r="Q22" s="15"/>
      <c r="R22" s="15"/>
      <c r="S22" s="16"/>
      <c r="T22" s="16"/>
      <c r="U22" s="16"/>
      <c r="V22" s="16"/>
    </row>
    <row r="23" spans="1:22" ht="132" hidden="1">
      <c r="A23" s="12">
        <v>21</v>
      </c>
      <c r="B23" s="91" t="s">
        <v>342</v>
      </c>
      <c r="C23" s="14">
        <v>5</v>
      </c>
      <c r="D23" s="26"/>
      <c r="E23" s="15" t="s">
        <v>343</v>
      </c>
      <c r="F23" s="15" t="s">
        <v>344</v>
      </c>
      <c r="G23" s="15"/>
      <c r="H23" s="15"/>
      <c r="I23" s="16"/>
      <c r="J23" s="15"/>
      <c r="K23" s="15"/>
      <c r="L23" s="16"/>
      <c r="M23" s="26"/>
      <c r="N23" s="15" t="s">
        <v>345</v>
      </c>
      <c r="O23" s="15"/>
      <c r="P23" s="15"/>
      <c r="Q23" s="15"/>
      <c r="R23" s="15"/>
      <c r="S23" s="16"/>
      <c r="T23" s="16"/>
      <c r="U23" s="16"/>
      <c r="V23" s="16"/>
    </row>
    <row r="24" spans="1:22" ht="145.19999999999999" hidden="1">
      <c r="A24" s="12">
        <v>22</v>
      </c>
      <c r="B24" s="33" t="s">
        <v>346</v>
      </c>
      <c r="C24" s="14">
        <v>5</v>
      </c>
      <c r="D24" s="26"/>
      <c r="E24" s="15" t="s">
        <v>347</v>
      </c>
      <c r="F24" s="15" t="s">
        <v>348</v>
      </c>
      <c r="G24" s="15"/>
      <c r="H24" s="15"/>
      <c r="I24" s="15"/>
      <c r="J24" s="15"/>
      <c r="K24" s="15"/>
      <c r="L24" s="16"/>
      <c r="M24" s="26"/>
      <c r="N24" s="15" t="s">
        <v>349</v>
      </c>
      <c r="O24" s="15"/>
      <c r="P24" s="15"/>
      <c r="Q24" s="15"/>
      <c r="R24" s="15"/>
      <c r="S24" s="16"/>
      <c r="T24" s="16"/>
      <c r="U24" s="16"/>
      <c r="V24" s="16"/>
    </row>
    <row r="25" spans="1:22" ht="200.25" hidden="1" customHeight="1">
      <c r="A25" s="12">
        <v>23</v>
      </c>
      <c r="B25" s="46" t="s">
        <v>350</v>
      </c>
      <c r="C25" s="14">
        <v>5</v>
      </c>
      <c r="D25" s="26"/>
      <c r="E25" s="16" t="s">
        <v>351</v>
      </c>
      <c r="F25" s="15" t="s">
        <v>352</v>
      </c>
      <c r="G25" s="15"/>
      <c r="H25" s="15"/>
      <c r="I25" s="15"/>
      <c r="J25" s="15"/>
      <c r="K25" s="15"/>
      <c r="L25" s="16"/>
      <c r="M25" s="26"/>
      <c r="N25" s="15" t="s">
        <v>353</v>
      </c>
      <c r="O25" s="15"/>
      <c r="P25" s="15"/>
      <c r="Q25" s="15"/>
      <c r="R25" s="15"/>
      <c r="S25" s="16"/>
      <c r="T25" s="16"/>
      <c r="U25" s="16"/>
      <c r="V25" s="16"/>
    </row>
    <row r="26" spans="1:22" ht="153.75" hidden="1" customHeight="1">
      <c r="A26" s="12">
        <v>24</v>
      </c>
      <c r="B26" s="46" t="s">
        <v>354</v>
      </c>
      <c r="C26" s="14">
        <v>6</v>
      </c>
      <c r="D26" s="26"/>
      <c r="E26" s="15" t="s">
        <v>355</v>
      </c>
      <c r="F26" s="15" t="s">
        <v>356</v>
      </c>
      <c r="G26" s="15"/>
      <c r="H26" s="15"/>
      <c r="I26" s="15"/>
      <c r="J26" s="15"/>
      <c r="K26" s="15"/>
      <c r="L26" s="16"/>
      <c r="M26" s="26"/>
      <c r="N26" s="15"/>
      <c r="O26" s="15"/>
      <c r="P26" s="15"/>
      <c r="Q26" s="15"/>
      <c r="R26" s="15"/>
      <c r="S26" s="16"/>
      <c r="T26" s="16"/>
      <c r="U26" s="16"/>
      <c r="V26" s="16"/>
    </row>
    <row r="27" spans="1:22" ht="145.5" hidden="1" customHeight="1">
      <c r="A27" s="12">
        <v>25</v>
      </c>
      <c r="B27" s="46" t="s">
        <v>357</v>
      </c>
      <c r="C27" s="14">
        <v>6</v>
      </c>
      <c r="D27" s="26"/>
      <c r="E27" s="15" t="s">
        <v>358</v>
      </c>
      <c r="F27" s="15" t="s">
        <v>359</v>
      </c>
      <c r="G27" s="15"/>
      <c r="H27" s="15"/>
      <c r="I27" s="15"/>
      <c r="J27" s="60"/>
      <c r="K27" s="15"/>
      <c r="L27" s="16"/>
      <c r="M27" s="26"/>
      <c r="N27" s="15" t="s">
        <v>360</v>
      </c>
      <c r="O27" s="15"/>
      <c r="P27" s="15"/>
      <c r="Q27" s="15"/>
      <c r="R27" s="15"/>
      <c r="S27" s="16"/>
      <c r="T27" s="16"/>
      <c r="U27" s="16"/>
      <c r="V27" s="16"/>
    </row>
    <row r="28" spans="1:22" ht="118.8" hidden="1">
      <c r="A28" s="12">
        <v>26</v>
      </c>
      <c r="B28" s="46" t="s">
        <v>361</v>
      </c>
      <c r="C28" s="14">
        <v>6</v>
      </c>
      <c r="D28" s="26"/>
      <c r="E28" s="15" t="s">
        <v>362</v>
      </c>
      <c r="F28" s="15" t="s">
        <v>363</v>
      </c>
      <c r="G28" s="15"/>
      <c r="H28" s="15"/>
      <c r="I28" s="15"/>
      <c r="J28" s="15"/>
      <c r="K28" s="15"/>
      <c r="L28" s="16"/>
      <c r="M28" s="26"/>
      <c r="N28" s="15" t="s">
        <v>364</v>
      </c>
      <c r="O28" s="15"/>
      <c r="P28" s="15"/>
      <c r="Q28" s="15"/>
      <c r="R28" s="15"/>
      <c r="S28" s="16"/>
      <c r="T28" s="16"/>
      <c r="U28" s="16"/>
      <c r="V28" s="16"/>
    </row>
    <row r="29" spans="1:22" ht="211.2" hidden="1">
      <c r="A29" s="12">
        <v>27</v>
      </c>
      <c r="B29" s="33" t="s">
        <v>365</v>
      </c>
      <c r="C29" s="14">
        <v>6</v>
      </c>
      <c r="D29" s="26"/>
      <c r="E29" s="15" t="s">
        <v>366</v>
      </c>
      <c r="F29" s="15" t="s">
        <v>367</v>
      </c>
      <c r="G29" s="15"/>
      <c r="H29" s="15"/>
      <c r="I29" s="15"/>
      <c r="J29" s="15"/>
      <c r="K29" s="15"/>
      <c r="L29" s="16"/>
      <c r="M29" s="26"/>
      <c r="N29" s="15" t="s">
        <v>368</v>
      </c>
      <c r="O29" s="15"/>
      <c r="P29" s="15"/>
      <c r="Q29" s="15"/>
      <c r="R29" s="15"/>
      <c r="S29" s="16"/>
      <c r="T29" s="16"/>
      <c r="U29" s="16"/>
      <c r="V29" s="16"/>
    </row>
    <row r="30" spans="1:22" ht="158.4" hidden="1">
      <c r="A30" s="12">
        <v>28</v>
      </c>
      <c r="B30" s="46" t="s">
        <v>369</v>
      </c>
      <c r="C30" s="14">
        <v>6</v>
      </c>
      <c r="D30" s="26"/>
      <c r="E30" s="15" t="s">
        <v>370</v>
      </c>
      <c r="F30" s="15" t="s">
        <v>371</v>
      </c>
      <c r="G30" s="15"/>
      <c r="H30" s="15"/>
      <c r="I30" s="15"/>
      <c r="J30" s="15"/>
      <c r="K30" s="15"/>
      <c r="L30" s="16"/>
      <c r="M30" s="26"/>
      <c r="N30" s="15" t="s">
        <v>372</v>
      </c>
      <c r="O30" s="15"/>
      <c r="P30" s="15"/>
      <c r="Q30" s="15"/>
      <c r="R30" s="15"/>
      <c r="S30" s="16"/>
      <c r="T30" s="16"/>
      <c r="U30" s="16"/>
      <c r="V30" s="16"/>
    </row>
    <row r="31" spans="1:22" ht="118.8" hidden="1">
      <c r="A31" s="12">
        <v>29</v>
      </c>
      <c r="B31" s="46" t="s">
        <v>373</v>
      </c>
      <c r="C31" s="14">
        <v>7</v>
      </c>
      <c r="D31" s="26"/>
      <c r="E31" s="15" t="s">
        <v>374</v>
      </c>
      <c r="F31" s="15" t="s">
        <v>375</v>
      </c>
      <c r="G31" s="15"/>
      <c r="H31" s="15"/>
      <c r="I31" s="15"/>
      <c r="J31" s="15"/>
      <c r="K31" s="15"/>
      <c r="L31" s="16"/>
      <c r="M31" s="26"/>
      <c r="N31" s="15" t="s">
        <v>376</v>
      </c>
      <c r="O31" s="15"/>
      <c r="P31" s="15"/>
      <c r="Q31" s="15"/>
      <c r="R31" s="15"/>
      <c r="S31" s="16"/>
      <c r="T31" s="16"/>
      <c r="U31" s="16"/>
      <c r="V31" s="16"/>
    </row>
    <row r="32" spans="1:22" ht="145.19999999999999" hidden="1">
      <c r="A32" s="12">
        <v>30</v>
      </c>
      <c r="B32" s="46" t="s">
        <v>377</v>
      </c>
      <c r="C32" s="14">
        <v>7</v>
      </c>
      <c r="D32" s="26"/>
      <c r="E32" s="15" t="s">
        <v>378</v>
      </c>
      <c r="F32" s="15" t="s">
        <v>379</v>
      </c>
      <c r="G32" s="15"/>
      <c r="H32" s="15"/>
      <c r="I32" s="15"/>
      <c r="J32" s="15"/>
      <c r="K32" s="15"/>
      <c r="L32" s="16"/>
      <c r="M32" s="26"/>
      <c r="N32" s="15" t="s">
        <v>380</v>
      </c>
      <c r="O32" s="15"/>
      <c r="P32" s="15"/>
      <c r="Q32" s="15"/>
      <c r="R32" s="15"/>
      <c r="S32" s="16"/>
      <c r="T32" s="16"/>
      <c r="U32" s="16"/>
      <c r="V32" s="16"/>
    </row>
    <row r="33" spans="1:22" ht="118.8" hidden="1">
      <c r="A33" s="12">
        <v>31</v>
      </c>
      <c r="B33" s="91" t="s">
        <v>381</v>
      </c>
      <c r="C33" s="14">
        <v>7</v>
      </c>
      <c r="D33" s="26"/>
      <c r="E33" s="16" t="s">
        <v>382</v>
      </c>
      <c r="F33" s="16" t="s">
        <v>383</v>
      </c>
      <c r="G33" s="15"/>
      <c r="H33" s="15"/>
      <c r="I33" s="15"/>
      <c r="J33" s="15"/>
      <c r="K33" s="15"/>
      <c r="L33" s="16"/>
      <c r="M33" s="26"/>
      <c r="N33" s="15" t="s">
        <v>384</v>
      </c>
      <c r="O33" s="15"/>
      <c r="P33" s="15"/>
      <c r="Q33" s="15"/>
      <c r="R33" s="15"/>
      <c r="S33" s="16"/>
      <c r="T33" s="16"/>
      <c r="U33" s="16"/>
      <c r="V33" s="16"/>
    </row>
    <row r="34" spans="1:22" ht="145.19999999999999" hidden="1">
      <c r="A34" s="12">
        <v>32</v>
      </c>
      <c r="B34" s="46" t="s">
        <v>385</v>
      </c>
      <c r="C34" s="14">
        <v>7</v>
      </c>
      <c r="D34" s="26"/>
      <c r="E34" s="15" t="s">
        <v>386</v>
      </c>
      <c r="F34" s="15" t="s">
        <v>387</v>
      </c>
      <c r="G34" s="15"/>
      <c r="H34" s="15"/>
      <c r="I34" s="15"/>
      <c r="J34" s="15"/>
      <c r="K34" s="15"/>
      <c r="L34" s="16"/>
      <c r="M34" s="26"/>
      <c r="N34" s="15" t="s">
        <v>388</v>
      </c>
      <c r="O34" s="15"/>
      <c r="P34" s="15"/>
      <c r="Q34" s="15"/>
      <c r="R34" s="15"/>
      <c r="S34" s="16"/>
      <c r="T34" s="16"/>
      <c r="U34" s="16"/>
      <c r="V34" s="16"/>
    </row>
    <row r="35" spans="1:22" ht="230.4" hidden="1">
      <c r="A35" s="12">
        <v>33</v>
      </c>
      <c r="B35" s="91" t="s">
        <v>389</v>
      </c>
      <c r="C35" s="14">
        <v>7</v>
      </c>
      <c r="D35" s="26"/>
      <c r="E35" s="44" t="s">
        <v>390</v>
      </c>
      <c r="F35" s="44" t="s">
        <v>391</v>
      </c>
      <c r="G35" s="15"/>
      <c r="H35" s="15"/>
      <c r="I35" s="15"/>
      <c r="J35" s="15"/>
      <c r="K35" s="15"/>
      <c r="L35" s="16"/>
      <c r="M35" s="26"/>
      <c r="N35" s="44" t="s">
        <v>392</v>
      </c>
      <c r="O35" s="15"/>
      <c r="P35" s="15"/>
      <c r="Q35" s="15"/>
      <c r="R35" s="15"/>
      <c r="S35" s="16"/>
      <c r="T35" s="16"/>
      <c r="U35" s="16"/>
      <c r="V35" s="16"/>
    </row>
    <row r="36" spans="1:22" ht="105.6" hidden="1">
      <c r="A36" s="12">
        <v>34</v>
      </c>
      <c r="B36" s="91" t="s">
        <v>393</v>
      </c>
      <c r="C36" s="14">
        <v>7</v>
      </c>
      <c r="D36" s="26"/>
      <c r="E36" s="15" t="s">
        <v>394</v>
      </c>
      <c r="F36" s="15" t="s">
        <v>395</v>
      </c>
      <c r="G36" s="15"/>
      <c r="H36" s="15"/>
      <c r="I36" s="15"/>
      <c r="J36" s="15"/>
      <c r="K36" s="15"/>
      <c r="L36" s="16"/>
      <c r="M36" s="26"/>
      <c r="N36" s="15" t="s">
        <v>396</v>
      </c>
      <c r="O36" s="15"/>
      <c r="P36" s="15"/>
      <c r="Q36" s="15"/>
      <c r="R36" s="15"/>
      <c r="S36" s="16"/>
      <c r="T36" s="16"/>
      <c r="U36" s="16"/>
      <c r="V36" s="16"/>
    </row>
    <row r="37" spans="1:22" ht="105.6" hidden="1">
      <c r="A37" s="12">
        <v>35</v>
      </c>
      <c r="B37" s="46" t="s">
        <v>397</v>
      </c>
      <c r="C37" s="14">
        <v>8</v>
      </c>
      <c r="D37" s="26"/>
      <c r="E37" s="15" t="s">
        <v>398</v>
      </c>
      <c r="F37" s="15" t="s">
        <v>399</v>
      </c>
      <c r="G37" s="15"/>
      <c r="H37" s="15"/>
      <c r="I37" s="15"/>
      <c r="J37" s="15"/>
      <c r="K37" s="15"/>
      <c r="L37" s="16"/>
      <c r="M37" s="26"/>
      <c r="N37" s="15" t="s">
        <v>400</v>
      </c>
      <c r="O37" s="15"/>
      <c r="P37" s="15"/>
      <c r="Q37" s="15"/>
      <c r="R37" s="15"/>
      <c r="S37" s="16"/>
      <c r="T37" s="16"/>
      <c r="U37" s="16"/>
      <c r="V37" s="16"/>
    </row>
    <row r="38" spans="1:22" ht="167.25" hidden="1" customHeight="1">
      <c r="A38" s="12">
        <v>36</v>
      </c>
      <c r="B38" s="46" t="s">
        <v>401</v>
      </c>
      <c r="C38" s="14">
        <v>8</v>
      </c>
      <c r="D38" s="26"/>
      <c r="E38" s="16" t="s">
        <v>402</v>
      </c>
      <c r="F38" s="16" t="s">
        <v>403</v>
      </c>
      <c r="G38" s="15"/>
      <c r="H38" s="62"/>
      <c r="I38" s="13"/>
      <c r="J38" s="15"/>
      <c r="K38" s="15"/>
      <c r="L38" s="16"/>
      <c r="M38" s="26"/>
      <c r="N38" s="15" t="s">
        <v>404</v>
      </c>
      <c r="O38" s="15"/>
      <c r="P38" s="15"/>
      <c r="Q38" s="15"/>
      <c r="R38" s="15"/>
      <c r="S38" s="16"/>
      <c r="T38" s="16"/>
      <c r="U38" s="16"/>
      <c r="V38" s="16"/>
    </row>
    <row r="39" spans="1:22" ht="141.75" hidden="1" customHeight="1">
      <c r="A39" s="12">
        <v>37</v>
      </c>
      <c r="B39" s="46" t="s">
        <v>405</v>
      </c>
      <c r="C39" s="14">
        <v>8</v>
      </c>
      <c r="D39" s="26"/>
      <c r="E39" s="15" t="s">
        <v>406</v>
      </c>
      <c r="F39" s="15" t="s">
        <v>407</v>
      </c>
      <c r="G39" s="15"/>
      <c r="H39" s="15"/>
      <c r="I39" s="15"/>
      <c r="J39" s="15"/>
      <c r="K39" s="15"/>
      <c r="L39" s="16"/>
      <c r="M39" s="15"/>
      <c r="N39" s="15" t="s">
        <v>408</v>
      </c>
      <c r="O39" s="15"/>
      <c r="P39" s="15"/>
      <c r="Q39" s="15"/>
      <c r="R39" s="15"/>
      <c r="S39" s="16"/>
      <c r="T39" s="16"/>
      <c r="U39" s="16"/>
      <c r="V39" s="16"/>
    </row>
    <row r="40" spans="1:22" ht="105.6" hidden="1">
      <c r="A40" s="12">
        <v>38</v>
      </c>
      <c r="B40" s="33" t="s">
        <v>409</v>
      </c>
      <c r="C40" s="14">
        <v>8</v>
      </c>
      <c r="D40" s="26"/>
      <c r="E40" s="15" t="s">
        <v>410</v>
      </c>
      <c r="F40" s="15" t="s">
        <v>411</v>
      </c>
      <c r="G40" s="15"/>
      <c r="H40" s="15"/>
      <c r="I40" s="15"/>
      <c r="J40" s="15"/>
      <c r="K40" s="15"/>
      <c r="L40" s="16"/>
      <c r="M40" s="26"/>
      <c r="N40" s="15" t="s">
        <v>412</v>
      </c>
      <c r="O40" s="15"/>
      <c r="P40" s="15"/>
      <c r="Q40" s="15"/>
      <c r="R40" s="15"/>
      <c r="S40" s="16"/>
      <c r="T40" s="16"/>
      <c r="U40" s="16"/>
      <c r="V40" s="16"/>
    </row>
    <row r="41" spans="1:22" ht="153" hidden="1" customHeight="1">
      <c r="A41" s="12">
        <v>39</v>
      </c>
      <c r="B41" s="46" t="s">
        <v>413</v>
      </c>
      <c r="C41" s="14">
        <v>9</v>
      </c>
      <c r="D41" s="26"/>
      <c r="E41" s="15" t="s">
        <v>414</v>
      </c>
      <c r="F41" s="15" t="s">
        <v>415</v>
      </c>
      <c r="G41" s="15"/>
      <c r="H41" s="15"/>
      <c r="I41" s="15"/>
      <c r="J41" s="15"/>
      <c r="K41" s="15"/>
      <c r="L41" s="16"/>
      <c r="M41" s="26"/>
      <c r="N41" s="15" t="s">
        <v>416</v>
      </c>
      <c r="O41" s="15"/>
      <c r="P41" s="15"/>
      <c r="Q41" s="15"/>
      <c r="R41" s="15"/>
      <c r="S41" s="16"/>
      <c r="T41" s="16"/>
      <c r="U41" s="16"/>
      <c r="V41" s="16"/>
    </row>
    <row r="42" spans="1:22" ht="237.6" hidden="1">
      <c r="A42" s="12">
        <v>40</v>
      </c>
      <c r="B42" s="33" t="s">
        <v>417</v>
      </c>
      <c r="C42" s="14">
        <v>9</v>
      </c>
      <c r="D42" s="26"/>
      <c r="E42" s="15" t="s">
        <v>418</v>
      </c>
      <c r="F42" s="15" t="s">
        <v>419</v>
      </c>
      <c r="G42" s="15"/>
      <c r="H42" s="15"/>
      <c r="I42" s="15"/>
      <c r="J42" s="15"/>
      <c r="K42" s="15"/>
      <c r="L42" s="16"/>
      <c r="M42" s="26"/>
      <c r="N42" s="15" t="s">
        <v>420</v>
      </c>
      <c r="O42" s="15"/>
      <c r="P42" s="15"/>
      <c r="Q42" s="15"/>
      <c r="R42" s="15"/>
      <c r="S42" s="16"/>
      <c r="T42" s="16"/>
      <c r="U42" s="16"/>
      <c r="V42" s="16"/>
    </row>
    <row r="43" spans="1:22" ht="153" hidden="1" customHeight="1">
      <c r="A43" s="12">
        <v>41</v>
      </c>
      <c r="B43" s="26" t="s">
        <v>421</v>
      </c>
      <c r="C43" s="14">
        <v>9</v>
      </c>
      <c r="D43" s="26"/>
      <c r="E43" s="26" t="s">
        <v>422</v>
      </c>
      <c r="F43" s="26" t="s">
        <v>423</v>
      </c>
      <c r="G43" s="26"/>
      <c r="H43" s="26"/>
      <c r="I43" s="26"/>
      <c r="J43" s="26"/>
      <c r="K43" s="26"/>
      <c r="L43" s="28"/>
      <c r="M43" s="26"/>
      <c r="N43" s="26" t="s">
        <v>424</v>
      </c>
      <c r="O43" s="26"/>
      <c r="P43" s="26"/>
      <c r="Q43" s="26"/>
      <c r="R43" s="26"/>
      <c r="S43" s="28"/>
      <c r="T43" s="28"/>
      <c r="U43" s="28"/>
      <c r="V43" s="28"/>
    </row>
    <row r="44" spans="1:22" ht="119.25" hidden="1" customHeight="1">
      <c r="A44" s="12">
        <v>42</v>
      </c>
      <c r="B44" s="17" t="s">
        <v>425</v>
      </c>
      <c r="C44" s="14">
        <v>9</v>
      </c>
      <c r="D44" s="26"/>
      <c r="E44" s="15" t="s">
        <v>426</v>
      </c>
      <c r="F44" s="17" t="s">
        <v>427</v>
      </c>
      <c r="G44" s="15"/>
      <c r="H44" s="60"/>
      <c r="I44" s="17"/>
      <c r="J44" s="17"/>
      <c r="K44" s="15"/>
      <c r="L44" s="16"/>
      <c r="M44" s="26"/>
      <c r="N44" s="17"/>
      <c r="O44" s="15"/>
      <c r="P44" s="15"/>
      <c r="Q44" s="15"/>
      <c r="R44" s="15"/>
      <c r="S44" s="16"/>
      <c r="T44" s="16"/>
      <c r="U44" s="16"/>
      <c r="V44" s="16"/>
    </row>
    <row r="45" spans="1:22" ht="119.25" hidden="1" customHeight="1">
      <c r="A45" s="12">
        <v>43</v>
      </c>
      <c r="B45" s="17" t="s">
        <v>428</v>
      </c>
      <c r="C45" s="14">
        <v>10</v>
      </c>
      <c r="D45" s="26"/>
      <c r="E45" s="15" t="s">
        <v>429</v>
      </c>
      <c r="F45" s="17" t="s">
        <v>430</v>
      </c>
      <c r="G45" s="15"/>
      <c r="H45" s="60"/>
      <c r="I45" s="17"/>
      <c r="J45" s="17"/>
      <c r="K45" s="15"/>
      <c r="L45" s="16"/>
      <c r="M45" s="26"/>
      <c r="N45" s="17" t="s">
        <v>431</v>
      </c>
      <c r="O45" s="15"/>
      <c r="P45" s="15"/>
      <c r="Q45" s="15"/>
      <c r="R45" s="15"/>
      <c r="S45" s="16"/>
      <c r="T45" s="16"/>
      <c r="U45" s="16"/>
      <c r="V45" s="16"/>
    </row>
    <row r="46" spans="1:22" ht="132" hidden="1">
      <c r="A46" s="12">
        <v>44</v>
      </c>
      <c r="B46" s="46" t="s">
        <v>432</v>
      </c>
      <c r="C46" s="14">
        <v>10</v>
      </c>
      <c r="D46" s="26"/>
      <c r="E46" s="15" t="s">
        <v>433</v>
      </c>
      <c r="F46" s="15" t="s">
        <v>434</v>
      </c>
      <c r="G46" s="15"/>
      <c r="H46" s="15"/>
      <c r="I46" s="15"/>
      <c r="J46" s="15"/>
      <c r="K46" s="15"/>
      <c r="L46" s="16"/>
      <c r="M46" s="26"/>
      <c r="N46" s="15" t="s">
        <v>435</v>
      </c>
      <c r="O46" s="15"/>
      <c r="P46" s="15"/>
      <c r="Q46" s="15"/>
      <c r="R46" s="15"/>
      <c r="S46" s="16"/>
      <c r="T46" s="16"/>
      <c r="U46" s="16"/>
      <c r="V46" s="16"/>
    </row>
    <row r="47" spans="1:22" ht="131.25" hidden="1" customHeight="1">
      <c r="A47" s="12">
        <v>45</v>
      </c>
      <c r="B47" s="46" t="s">
        <v>436</v>
      </c>
      <c r="C47" s="14">
        <v>10</v>
      </c>
      <c r="D47" s="26"/>
      <c r="E47" s="96" t="s">
        <v>437</v>
      </c>
      <c r="F47" s="97" t="s">
        <v>438</v>
      </c>
      <c r="G47" s="15"/>
      <c r="H47" s="15"/>
      <c r="I47" s="15"/>
      <c r="J47" s="15"/>
      <c r="K47" s="15"/>
      <c r="L47" s="16"/>
      <c r="M47" s="26"/>
      <c r="N47" s="97" t="s">
        <v>439</v>
      </c>
      <c r="O47" s="15"/>
      <c r="P47" s="15"/>
      <c r="Q47" s="15"/>
      <c r="R47" s="15"/>
      <c r="S47" s="16"/>
      <c r="T47" s="16"/>
      <c r="U47" s="16"/>
      <c r="V47" s="16"/>
    </row>
    <row r="48" spans="1:22" ht="343.2" hidden="1">
      <c r="A48" s="12">
        <v>46</v>
      </c>
      <c r="B48" s="46" t="s">
        <v>440</v>
      </c>
      <c r="C48" s="14">
        <v>4</v>
      </c>
      <c r="D48" s="26"/>
      <c r="E48" s="26" t="s">
        <v>441</v>
      </c>
      <c r="F48" s="15" t="s">
        <v>442</v>
      </c>
      <c r="G48" s="15"/>
      <c r="H48" s="15"/>
      <c r="I48" s="15"/>
      <c r="J48" s="15"/>
      <c r="K48" s="15"/>
      <c r="L48" s="16"/>
      <c r="M48" s="15"/>
      <c r="N48" s="15" t="s">
        <v>443</v>
      </c>
      <c r="O48" s="15"/>
      <c r="P48" s="15"/>
      <c r="Q48" s="15"/>
      <c r="R48" s="15"/>
      <c r="S48" s="16"/>
      <c r="T48" s="16"/>
      <c r="U48" s="16"/>
      <c r="V48" s="16"/>
    </row>
    <row r="49" spans="1:22" ht="105.6" hidden="1">
      <c r="A49" s="12">
        <v>47</v>
      </c>
      <c r="B49" s="46" t="s">
        <v>444</v>
      </c>
      <c r="C49" s="14">
        <v>5</v>
      </c>
      <c r="D49" s="26"/>
      <c r="E49" s="26" t="s">
        <v>445</v>
      </c>
      <c r="F49" s="15" t="s">
        <v>446</v>
      </c>
      <c r="G49" s="15"/>
      <c r="H49" s="15"/>
      <c r="I49" s="15"/>
      <c r="J49" s="15"/>
      <c r="K49" s="15"/>
      <c r="L49" s="16"/>
      <c r="M49" s="26"/>
      <c r="N49" s="15"/>
      <c r="O49" s="15"/>
      <c r="P49" s="15"/>
      <c r="Q49" s="15"/>
      <c r="R49" s="15"/>
      <c r="S49" s="16"/>
      <c r="T49" s="16"/>
      <c r="U49" s="16"/>
      <c r="V49" s="16"/>
    </row>
    <row r="50" spans="1:22" ht="158.4" hidden="1">
      <c r="A50" s="12">
        <v>48</v>
      </c>
      <c r="B50" s="46" t="s">
        <v>447</v>
      </c>
      <c r="C50" s="14">
        <v>10</v>
      </c>
      <c r="D50" s="26"/>
      <c r="E50" s="15" t="s">
        <v>448</v>
      </c>
      <c r="F50" s="15" t="s">
        <v>449</v>
      </c>
      <c r="G50" s="15"/>
      <c r="H50" s="15"/>
      <c r="I50" s="15"/>
      <c r="J50" s="15"/>
      <c r="K50" s="15"/>
      <c r="L50" s="16"/>
      <c r="M50" s="26"/>
      <c r="N50" s="15"/>
      <c r="O50" s="15"/>
      <c r="P50" s="15"/>
      <c r="Q50" s="15"/>
      <c r="R50" s="15"/>
      <c r="S50" s="16"/>
      <c r="T50" s="16"/>
      <c r="U50" s="16"/>
      <c r="V50" s="16"/>
    </row>
    <row r="51" spans="1:22" ht="184.8" hidden="1">
      <c r="A51" s="12">
        <v>49</v>
      </c>
      <c r="B51" s="91" t="s">
        <v>450</v>
      </c>
      <c r="C51" s="14">
        <v>6</v>
      </c>
      <c r="D51" s="26"/>
      <c r="E51" s="46" t="s">
        <v>451</v>
      </c>
      <c r="F51" s="98" t="s">
        <v>452</v>
      </c>
      <c r="G51" s="15"/>
      <c r="H51" s="62"/>
      <c r="I51" s="15"/>
      <c r="J51" s="15"/>
      <c r="K51" s="15"/>
      <c r="L51" s="16"/>
      <c r="M51" s="26"/>
      <c r="N51" s="15"/>
      <c r="O51" s="15"/>
      <c r="P51" s="15"/>
      <c r="Q51" s="15"/>
      <c r="R51" s="15"/>
      <c r="S51" s="16"/>
      <c r="T51" s="16"/>
      <c r="U51" s="16"/>
      <c r="V51" s="16"/>
    </row>
    <row r="52" spans="1:22" ht="145.19999999999999" hidden="1">
      <c r="A52" s="12">
        <v>50</v>
      </c>
      <c r="B52" s="46" t="s">
        <v>453</v>
      </c>
      <c r="C52" s="14">
        <v>1</v>
      </c>
      <c r="D52" s="26"/>
      <c r="E52" s="15" t="s">
        <v>454</v>
      </c>
      <c r="F52" s="15" t="s">
        <v>455</v>
      </c>
      <c r="G52" s="15"/>
      <c r="H52" s="34"/>
      <c r="I52" s="15"/>
      <c r="J52" s="15"/>
      <c r="K52" s="15"/>
      <c r="L52" s="16"/>
      <c r="M52" s="26"/>
      <c r="N52" s="15"/>
      <c r="O52" s="15"/>
      <c r="P52" s="15"/>
      <c r="Q52" s="15"/>
      <c r="R52" s="15"/>
      <c r="S52" s="16"/>
      <c r="T52" s="16"/>
      <c r="U52" s="16"/>
      <c r="V52" s="16"/>
    </row>
    <row r="53" spans="1:22" ht="237.6" hidden="1">
      <c r="A53" s="12">
        <v>51</v>
      </c>
      <c r="B53" s="46" t="s">
        <v>456</v>
      </c>
      <c r="C53" s="14">
        <v>4</v>
      </c>
      <c r="D53" s="26"/>
      <c r="E53" s="15" t="s">
        <v>457</v>
      </c>
      <c r="F53" s="15" t="s">
        <v>458</v>
      </c>
      <c r="G53" s="15"/>
      <c r="H53" s="15"/>
      <c r="I53" s="15"/>
      <c r="J53" s="15"/>
      <c r="K53" s="15"/>
      <c r="L53" s="16"/>
      <c r="M53" s="26"/>
      <c r="N53" s="15" t="s">
        <v>459</v>
      </c>
      <c r="O53" s="15"/>
      <c r="P53" s="15"/>
      <c r="Q53" s="15"/>
      <c r="R53" s="15"/>
      <c r="S53" s="16"/>
      <c r="T53" s="16"/>
      <c r="U53" s="16"/>
      <c r="V53" s="16"/>
    </row>
    <row r="54" spans="1:22" ht="211.2" hidden="1">
      <c r="A54" s="12">
        <v>52</v>
      </c>
      <c r="B54" s="46" t="s">
        <v>460</v>
      </c>
      <c r="C54" s="14">
        <v>10</v>
      </c>
      <c r="D54" s="26"/>
      <c r="E54" s="15" t="s">
        <v>461</v>
      </c>
      <c r="F54" s="15" t="s">
        <v>462</v>
      </c>
      <c r="G54" s="15"/>
      <c r="H54" s="15"/>
      <c r="I54" s="15"/>
      <c r="J54" s="15"/>
      <c r="K54" s="15"/>
      <c r="L54" s="16"/>
      <c r="M54" s="26"/>
      <c r="N54" s="15"/>
      <c r="O54" s="15"/>
      <c r="P54" s="15"/>
      <c r="Q54" s="15"/>
      <c r="R54" s="15"/>
      <c r="S54" s="16"/>
      <c r="T54" s="16"/>
      <c r="U54" s="16"/>
      <c r="V54" s="16"/>
    </row>
    <row r="55" spans="1:22" ht="118.8" hidden="1">
      <c r="A55" s="12">
        <v>53</v>
      </c>
      <c r="B55" s="46" t="s">
        <v>463</v>
      </c>
      <c r="C55" s="14">
        <v>5</v>
      </c>
      <c r="D55" s="26"/>
      <c r="E55" s="15" t="s">
        <v>464</v>
      </c>
      <c r="F55" s="15" t="s">
        <v>465</v>
      </c>
      <c r="G55" s="15"/>
      <c r="H55" s="15"/>
      <c r="I55" s="15"/>
      <c r="J55" s="15"/>
      <c r="K55" s="15"/>
      <c r="L55" s="16"/>
      <c r="M55" s="26"/>
      <c r="N55" s="15"/>
      <c r="O55" s="15"/>
      <c r="P55" s="15"/>
      <c r="Q55" s="15"/>
      <c r="R55" s="15"/>
      <c r="S55" s="16"/>
      <c r="T55" s="16"/>
      <c r="U55" s="16"/>
      <c r="V55" s="16"/>
    </row>
    <row r="56" spans="1:22" ht="145.19999999999999" hidden="1">
      <c r="A56" s="12">
        <v>54</v>
      </c>
      <c r="B56" s="46" t="s">
        <v>466</v>
      </c>
      <c r="C56" s="14">
        <v>8</v>
      </c>
      <c r="D56" s="26"/>
      <c r="E56" s="17" t="s">
        <v>467</v>
      </c>
      <c r="F56" s="15" t="s">
        <v>468</v>
      </c>
      <c r="G56" s="15"/>
      <c r="H56" s="15"/>
      <c r="I56" s="15"/>
      <c r="J56" s="15"/>
      <c r="K56" s="15"/>
      <c r="L56" s="16"/>
      <c r="M56" s="26"/>
      <c r="N56" s="15"/>
      <c r="O56" s="15"/>
      <c r="P56" s="15"/>
      <c r="Q56" s="15"/>
      <c r="R56" s="15"/>
      <c r="S56" s="16"/>
      <c r="T56" s="16"/>
      <c r="U56" s="16"/>
      <c r="V56" s="16"/>
    </row>
    <row r="57" spans="1:22" ht="66" hidden="1">
      <c r="A57" s="12">
        <v>55</v>
      </c>
      <c r="B57" s="46" t="s">
        <v>469</v>
      </c>
      <c r="C57" s="14">
        <v>2</v>
      </c>
      <c r="D57" s="26"/>
      <c r="E57" s="15" t="s">
        <v>470</v>
      </c>
      <c r="F57" s="15" t="s">
        <v>471</v>
      </c>
      <c r="G57" s="15"/>
      <c r="H57" s="15"/>
      <c r="I57" s="15"/>
      <c r="J57" s="15"/>
      <c r="K57" s="15"/>
      <c r="L57" s="16"/>
      <c r="M57" s="26"/>
      <c r="N57" s="15"/>
      <c r="O57" s="15"/>
      <c r="P57" s="15"/>
      <c r="Q57" s="15"/>
      <c r="R57" s="15"/>
      <c r="S57" s="16"/>
      <c r="T57" s="16"/>
      <c r="U57" s="16"/>
      <c r="V57" s="16"/>
    </row>
    <row r="58" spans="1:22" ht="13.2" hidden="1">
      <c r="A58" s="12">
        <v>56</v>
      </c>
      <c r="B58" s="46"/>
      <c r="C58" s="14"/>
      <c r="D58" s="26"/>
      <c r="E58" s="15"/>
      <c r="F58" s="15"/>
      <c r="G58" s="15"/>
      <c r="H58" s="15"/>
      <c r="I58" s="16"/>
      <c r="J58" s="15"/>
      <c r="K58" s="15"/>
      <c r="L58" s="16"/>
      <c r="M58" s="26"/>
      <c r="N58" s="15"/>
      <c r="O58" s="15"/>
      <c r="P58" s="15"/>
      <c r="Q58" s="15"/>
      <c r="R58" s="15"/>
      <c r="S58" s="16"/>
      <c r="T58" s="16"/>
      <c r="U58" s="16"/>
      <c r="V58" s="16"/>
    </row>
    <row r="59" spans="1:22" ht="13.8" hidden="1">
      <c r="A59" s="12">
        <v>57</v>
      </c>
      <c r="B59" s="46"/>
      <c r="C59" s="14"/>
      <c r="D59" s="26"/>
      <c r="E59" s="15"/>
      <c r="F59" s="15"/>
      <c r="G59" s="15"/>
      <c r="H59" s="15"/>
      <c r="I59" s="99"/>
      <c r="J59" s="15"/>
      <c r="K59" s="15"/>
      <c r="L59" s="16"/>
      <c r="M59" s="26"/>
      <c r="N59" s="15"/>
      <c r="O59" s="15"/>
      <c r="P59" s="15"/>
      <c r="Q59" s="15"/>
      <c r="R59" s="15"/>
      <c r="S59" s="16"/>
      <c r="T59" s="16"/>
      <c r="U59" s="16"/>
      <c r="V59" s="16"/>
    </row>
    <row r="60" spans="1:22" ht="13.2" hidden="1">
      <c r="A60" s="12">
        <v>58</v>
      </c>
      <c r="B60" s="46"/>
      <c r="C60" s="14"/>
      <c r="D60" s="26"/>
      <c r="E60" s="15"/>
      <c r="F60" s="15"/>
      <c r="G60" s="15"/>
      <c r="H60" s="15"/>
      <c r="I60" s="50"/>
      <c r="J60" s="16"/>
      <c r="K60" s="15"/>
      <c r="L60" s="16"/>
      <c r="M60" s="26"/>
      <c r="N60" s="15"/>
      <c r="O60" s="15"/>
      <c r="P60" s="15"/>
      <c r="Q60" s="15"/>
      <c r="R60" s="15"/>
      <c r="S60" s="16"/>
      <c r="T60" s="16"/>
      <c r="U60" s="16"/>
      <c r="V60" s="16"/>
    </row>
    <row r="61" spans="1:22" ht="13.2" hidden="1">
      <c r="A61" s="12">
        <v>59</v>
      </c>
      <c r="B61" s="46"/>
      <c r="C61" s="14"/>
      <c r="D61" s="26"/>
      <c r="E61" s="15"/>
      <c r="F61" s="15"/>
      <c r="G61" s="15"/>
      <c r="H61" s="15"/>
      <c r="I61" s="15"/>
      <c r="J61" s="15"/>
      <c r="K61" s="15"/>
      <c r="L61" s="16"/>
      <c r="M61" s="26"/>
      <c r="N61" s="15"/>
      <c r="O61" s="15"/>
      <c r="P61" s="15"/>
      <c r="Q61" s="15"/>
      <c r="R61" s="15"/>
      <c r="S61" s="16"/>
      <c r="T61" s="16"/>
      <c r="U61" s="16"/>
      <c r="V61" s="16"/>
    </row>
    <row r="62" spans="1:22" ht="13.2" hidden="1">
      <c r="A62" s="12">
        <v>60</v>
      </c>
      <c r="B62" s="46"/>
      <c r="C62" s="14"/>
      <c r="D62" s="26"/>
      <c r="E62" s="15"/>
      <c r="F62" s="15"/>
      <c r="G62" s="15"/>
      <c r="H62" s="15"/>
      <c r="I62" s="15"/>
      <c r="J62" s="15"/>
      <c r="K62" s="15"/>
      <c r="L62" s="16"/>
      <c r="M62" s="26"/>
      <c r="N62" s="15"/>
      <c r="O62" s="15"/>
      <c r="P62" s="15"/>
      <c r="Q62" s="15"/>
      <c r="R62" s="15"/>
      <c r="S62" s="16"/>
      <c r="T62" s="16"/>
      <c r="U62" s="16"/>
      <c r="V62" s="16"/>
    </row>
    <row r="63" spans="1:22" ht="13.2" hidden="1">
      <c r="A63" s="12">
        <v>61</v>
      </c>
      <c r="B63" s="46"/>
      <c r="C63" s="14"/>
      <c r="D63" s="26"/>
      <c r="E63" s="15"/>
      <c r="F63" s="62"/>
      <c r="G63" s="15"/>
      <c r="H63" s="15"/>
      <c r="I63" s="15"/>
      <c r="J63" s="62"/>
      <c r="K63" s="15"/>
      <c r="L63" s="16"/>
      <c r="M63" s="26"/>
      <c r="N63" s="62"/>
      <c r="O63" s="15"/>
      <c r="P63" s="15"/>
      <c r="Q63" s="15"/>
      <c r="R63" s="15"/>
      <c r="S63" s="16"/>
      <c r="T63" s="16"/>
      <c r="U63" s="16"/>
      <c r="V63" s="16"/>
    </row>
    <row r="64" spans="1:22" ht="13.2" hidden="1">
      <c r="A64" s="12">
        <v>62</v>
      </c>
      <c r="B64" s="91"/>
      <c r="C64" s="14"/>
      <c r="D64" s="26"/>
      <c r="E64" s="15"/>
      <c r="F64" s="15"/>
      <c r="G64" s="15"/>
      <c r="H64" s="15"/>
      <c r="I64" s="15"/>
      <c r="J64" s="15"/>
      <c r="K64" s="15"/>
      <c r="L64" s="16"/>
      <c r="M64" s="26"/>
      <c r="N64" s="15"/>
      <c r="O64" s="15"/>
      <c r="P64" s="15"/>
      <c r="Q64" s="15"/>
      <c r="R64" s="15"/>
      <c r="S64" s="16"/>
      <c r="T64" s="16"/>
      <c r="U64" s="16"/>
      <c r="V64" s="16"/>
    </row>
    <row r="65" spans="1:22" ht="13.2" hidden="1">
      <c r="A65" s="12">
        <v>63</v>
      </c>
      <c r="B65" s="26"/>
      <c r="C65" s="14"/>
      <c r="D65" s="26"/>
      <c r="E65" s="15"/>
      <c r="F65" s="15"/>
      <c r="G65" s="15"/>
      <c r="H65" s="15"/>
      <c r="I65" s="15"/>
      <c r="J65" s="15"/>
      <c r="K65" s="15"/>
      <c r="L65" s="16"/>
      <c r="M65" s="26"/>
      <c r="N65" s="15"/>
      <c r="O65" s="15"/>
      <c r="P65" s="15"/>
      <c r="Q65" s="15"/>
      <c r="R65" s="15"/>
      <c r="S65" s="16"/>
      <c r="T65" s="16"/>
      <c r="U65" s="16"/>
      <c r="V65" s="16"/>
    </row>
    <row r="66" spans="1:22" ht="13.2" hidden="1">
      <c r="A66" s="12">
        <v>64</v>
      </c>
      <c r="B66" s="26"/>
      <c r="C66" s="14"/>
      <c r="D66" s="26"/>
      <c r="E66" s="15"/>
      <c r="F66" s="15"/>
      <c r="G66" s="15"/>
      <c r="H66" s="15"/>
      <c r="I66" s="15"/>
      <c r="J66" s="15"/>
      <c r="K66" s="15"/>
      <c r="L66" s="16"/>
      <c r="M66" s="26"/>
      <c r="N66" s="15"/>
      <c r="O66" s="15"/>
      <c r="P66" s="15"/>
      <c r="Q66" s="15"/>
      <c r="R66" s="15"/>
      <c r="S66" s="16"/>
      <c r="T66" s="16"/>
      <c r="U66" s="16"/>
      <c r="V66" s="16"/>
    </row>
    <row r="67" spans="1:22" ht="13.2" hidden="1">
      <c r="A67" s="12">
        <v>65</v>
      </c>
      <c r="B67" s="46"/>
      <c r="C67" s="14"/>
      <c r="D67" s="26"/>
      <c r="E67" s="15"/>
      <c r="F67" s="15"/>
      <c r="G67" s="15"/>
      <c r="H67" s="15"/>
      <c r="I67" s="15"/>
      <c r="J67" s="15"/>
      <c r="K67" s="15"/>
      <c r="L67" s="16"/>
      <c r="M67" s="26"/>
      <c r="N67" s="15"/>
      <c r="O67" s="15"/>
      <c r="P67" s="15"/>
      <c r="Q67" s="15"/>
      <c r="R67" s="15"/>
      <c r="S67" s="16"/>
      <c r="T67" s="16"/>
      <c r="U67" s="16"/>
      <c r="V67" s="16"/>
    </row>
    <row r="68" spans="1:22" ht="13.2" hidden="1">
      <c r="A68" s="12">
        <v>66</v>
      </c>
      <c r="B68" s="91"/>
      <c r="C68" s="14"/>
      <c r="D68" s="26"/>
      <c r="E68" s="15"/>
      <c r="F68" s="15"/>
      <c r="G68" s="15"/>
      <c r="H68" s="15"/>
      <c r="I68" s="15"/>
      <c r="J68" s="15"/>
      <c r="K68" s="15"/>
      <c r="L68" s="16"/>
      <c r="M68" s="26"/>
      <c r="N68" s="15"/>
      <c r="O68" s="15"/>
      <c r="P68" s="15"/>
      <c r="Q68" s="15"/>
      <c r="R68" s="15"/>
      <c r="S68" s="16"/>
      <c r="T68" s="16"/>
      <c r="U68" s="16"/>
      <c r="V68" s="16"/>
    </row>
    <row r="69" spans="1:22" ht="13.2" hidden="1">
      <c r="A69" s="12">
        <v>67</v>
      </c>
      <c r="B69" s="46"/>
      <c r="C69" s="14"/>
      <c r="D69" s="26"/>
      <c r="E69" s="15"/>
      <c r="F69" s="15"/>
      <c r="G69" s="15"/>
      <c r="H69" s="15"/>
      <c r="I69" s="15"/>
      <c r="J69" s="15"/>
      <c r="K69" s="15"/>
      <c r="L69" s="16"/>
      <c r="M69" s="26"/>
      <c r="N69" s="15"/>
      <c r="O69" s="15"/>
      <c r="P69" s="15"/>
      <c r="Q69" s="15"/>
      <c r="R69" s="15"/>
      <c r="S69" s="16"/>
      <c r="T69" s="16"/>
      <c r="U69" s="16"/>
      <c r="V69" s="16"/>
    </row>
    <row r="70" spans="1:22" ht="13.2" hidden="1">
      <c r="A70" s="12">
        <v>68</v>
      </c>
      <c r="B70" s="46"/>
      <c r="C70" s="14"/>
      <c r="D70" s="26"/>
      <c r="E70" s="15"/>
      <c r="F70" s="15"/>
      <c r="G70" s="15"/>
      <c r="H70" s="15"/>
      <c r="I70" s="15"/>
      <c r="J70" s="15"/>
      <c r="K70" s="15"/>
      <c r="L70" s="16"/>
      <c r="M70" s="26"/>
      <c r="N70" s="15"/>
      <c r="O70" s="15"/>
      <c r="P70" s="15"/>
      <c r="Q70" s="15"/>
      <c r="R70" s="15"/>
      <c r="S70" s="16"/>
      <c r="T70" s="16"/>
      <c r="U70" s="16"/>
      <c r="V70" s="16"/>
    </row>
    <row r="71" spans="1:22" ht="13.2" hidden="1">
      <c r="A71" s="12">
        <v>69</v>
      </c>
      <c r="B71" s="26"/>
      <c r="C71" s="14"/>
      <c r="D71" s="26"/>
      <c r="E71" s="15"/>
      <c r="F71" s="15"/>
      <c r="G71" s="15"/>
      <c r="H71" s="15"/>
      <c r="I71" s="15"/>
      <c r="J71" s="15"/>
      <c r="K71" s="15"/>
      <c r="L71" s="16"/>
      <c r="M71" s="26"/>
      <c r="N71" s="15"/>
      <c r="O71" s="15"/>
      <c r="P71" s="15"/>
      <c r="Q71" s="15"/>
      <c r="R71" s="15"/>
      <c r="S71" s="16"/>
      <c r="T71" s="16"/>
      <c r="U71" s="16"/>
      <c r="V71" s="16"/>
    </row>
    <row r="72" spans="1:22" ht="13.2" hidden="1">
      <c r="A72" s="12">
        <v>70</v>
      </c>
      <c r="B72" s="26"/>
      <c r="C72" s="14"/>
      <c r="D72" s="26"/>
      <c r="E72" s="15"/>
      <c r="F72" s="15"/>
      <c r="G72" s="15"/>
      <c r="H72" s="15"/>
      <c r="I72" s="15"/>
      <c r="J72" s="17"/>
      <c r="K72" s="15"/>
      <c r="L72" s="16"/>
      <c r="M72" s="26"/>
      <c r="N72" s="15"/>
      <c r="O72" s="15"/>
      <c r="P72" s="15"/>
      <c r="Q72" s="15"/>
      <c r="R72" s="15"/>
      <c r="S72" s="16"/>
      <c r="T72" s="16"/>
      <c r="U72" s="16"/>
      <c r="V72" s="16"/>
    </row>
    <row r="73" spans="1:22" ht="13.2" hidden="1">
      <c r="A73" s="12">
        <v>71</v>
      </c>
      <c r="B73" s="91"/>
      <c r="C73" s="14"/>
      <c r="D73" s="26"/>
      <c r="E73" s="15"/>
      <c r="F73" s="15"/>
      <c r="G73" s="15"/>
      <c r="H73" s="15"/>
      <c r="I73" s="15"/>
      <c r="J73" s="15"/>
      <c r="K73" s="15"/>
      <c r="L73" s="16"/>
      <c r="M73" s="26"/>
      <c r="N73" s="15"/>
      <c r="O73" s="15"/>
      <c r="P73" s="15"/>
      <c r="Q73" s="15"/>
      <c r="R73" s="15"/>
      <c r="S73" s="16"/>
      <c r="T73" s="16"/>
      <c r="U73" s="16"/>
      <c r="V73" s="16"/>
    </row>
    <row r="74" spans="1:22" ht="13.2" hidden="1">
      <c r="A74" s="12">
        <v>72</v>
      </c>
      <c r="B74" s="46"/>
      <c r="C74" s="14"/>
      <c r="D74" s="26"/>
      <c r="E74" s="15"/>
      <c r="F74" s="15"/>
      <c r="G74" s="15"/>
      <c r="H74" s="15"/>
      <c r="I74" s="15"/>
      <c r="J74" s="15"/>
      <c r="K74" s="15"/>
      <c r="L74" s="16"/>
      <c r="M74" s="26"/>
      <c r="N74" s="15"/>
      <c r="O74" s="15"/>
      <c r="P74" s="15"/>
      <c r="Q74" s="15"/>
      <c r="R74" s="15"/>
      <c r="S74" s="16"/>
      <c r="T74" s="16"/>
      <c r="U74" s="16"/>
      <c r="V74" s="16"/>
    </row>
    <row r="75" spans="1:22" ht="13.2" hidden="1">
      <c r="A75" s="12">
        <v>73</v>
      </c>
      <c r="B75" s="46"/>
      <c r="C75" s="14"/>
      <c r="D75" s="26"/>
      <c r="E75" s="15"/>
      <c r="F75" s="15"/>
      <c r="G75" s="15"/>
      <c r="H75" s="15"/>
      <c r="I75" s="15"/>
      <c r="J75" s="15"/>
      <c r="K75" s="15"/>
      <c r="L75" s="16"/>
      <c r="M75" s="26"/>
      <c r="N75" s="15"/>
      <c r="O75" s="15"/>
      <c r="P75" s="15"/>
      <c r="Q75" s="15"/>
      <c r="R75" s="15"/>
      <c r="S75" s="16"/>
      <c r="T75" s="16"/>
      <c r="U75" s="16"/>
      <c r="V75" s="16"/>
    </row>
    <row r="76" spans="1:22" ht="13.2" hidden="1">
      <c r="A76" s="12">
        <v>74</v>
      </c>
      <c r="B76" s="46"/>
      <c r="C76" s="14"/>
      <c r="D76" s="26"/>
      <c r="E76" s="15"/>
      <c r="F76" s="15"/>
      <c r="G76" s="15"/>
      <c r="H76" s="15"/>
      <c r="I76" s="15"/>
      <c r="J76" s="15"/>
      <c r="K76" s="15"/>
      <c r="L76" s="16"/>
      <c r="M76" s="26"/>
      <c r="N76" s="15"/>
      <c r="O76" s="15"/>
      <c r="P76" s="15"/>
      <c r="Q76" s="15"/>
      <c r="R76" s="15"/>
      <c r="S76" s="16"/>
      <c r="T76" s="16"/>
      <c r="U76" s="16"/>
      <c r="V76" s="16"/>
    </row>
    <row r="77" spans="1:22" ht="13.2" hidden="1">
      <c r="A77" s="12">
        <v>75</v>
      </c>
      <c r="B77" s="46"/>
      <c r="C77" s="14"/>
      <c r="D77" s="26"/>
      <c r="E77" s="37"/>
      <c r="F77" s="37"/>
      <c r="G77" s="15"/>
      <c r="H77" s="15"/>
      <c r="I77" s="15"/>
      <c r="J77" s="15"/>
      <c r="K77" s="15"/>
      <c r="L77" s="16"/>
      <c r="M77" s="26"/>
      <c r="N77" s="37"/>
      <c r="O77" s="15"/>
      <c r="P77" s="15"/>
      <c r="Q77" s="15"/>
      <c r="R77" s="15"/>
      <c r="S77" s="16"/>
      <c r="T77" s="16"/>
      <c r="U77" s="16"/>
      <c r="V77" s="16"/>
    </row>
    <row r="78" spans="1:22" ht="13.2" hidden="1">
      <c r="A78" s="12">
        <v>76</v>
      </c>
      <c r="B78" s="46"/>
      <c r="C78" s="12"/>
      <c r="D78" s="26"/>
      <c r="E78" s="15"/>
      <c r="F78" s="15"/>
      <c r="G78" s="16"/>
      <c r="H78" s="16"/>
      <c r="I78" s="16"/>
      <c r="J78" s="16"/>
      <c r="K78" s="16"/>
      <c r="L78" s="16"/>
      <c r="M78" s="15"/>
      <c r="N78" s="15"/>
      <c r="O78" s="16"/>
      <c r="P78" s="16"/>
      <c r="Q78" s="16"/>
      <c r="R78" s="16"/>
      <c r="S78" s="16"/>
      <c r="T78" s="16"/>
      <c r="U78" s="16"/>
      <c r="V78" s="16"/>
    </row>
    <row r="79" spans="1:22" ht="13.2" hidden="1">
      <c r="A79" s="12">
        <v>77</v>
      </c>
      <c r="B79" s="46"/>
      <c r="C79" s="12"/>
      <c r="D79" s="15"/>
      <c r="E79" s="15"/>
      <c r="F79" s="15"/>
      <c r="G79" s="16"/>
      <c r="H79" s="16"/>
      <c r="I79" s="16"/>
      <c r="J79" s="16"/>
      <c r="K79" s="16"/>
      <c r="L79" s="16"/>
      <c r="M79" s="15"/>
      <c r="N79" s="15"/>
      <c r="O79" s="16"/>
      <c r="P79" s="16"/>
      <c r="Q79" s="16"/>
      <c r="R79" s="16"/>
      <c r="S79" s="16"/>
      <c r="T79" s="16"/>
      <c r="U79" s="16"/>
      <c r="V79" s="16"/>
    </row>
    <row r="80" spans="1:22" ht="13.2" hidden="1">
      <c r="A80" s="12">
        <v>78</v>
      </c>
      <c r="B80" s="46"/>
      <c r="C80" s="12"/>
      <c r="D80" s="15"/>
      <c r="E80" s="15"/>
      <c r="F80" s="15"/>
      <c r="G80" s="16"/>
      <c r="H80" s="16"/>
      <c r="I80" s="16"/>
      <c r="J80" s="16"/>
      <c r="K80" s="16"/>
      <c r="L80" s="16"/>
      <c r="M80" s="15"/>
      <c r="N80" s="15"/>
      <c r="O80" s="16"/>
      <c r="P80" s="16"/>
      <c r="Q80" s="16"/>
      <c r="R80" s="16"/>
      <c r="S80" s="16"/>
      <c r="T80" s="16"/>
      <c r="U80" s="16"/>
      <c r="V80" s="16"/>
    </row>
    <row r="81" spans="1:22" ht="13.2" hidden="1">
      <c r="A81" s="12">
        <v>79</v>
      </c>
      <c r="B81" s="46"/>
      <c r="C81" s="12"/>
      <c r="D81" s="15"/>
      <c r="E81" s="15"/>
      <c r="F81" s="15"/>
      <c r="G81" s="16"/>
      <c r="H81" s="16"/>
      <c r="I81" s="16"/>
      <c r="J81" s="16"/>
      <c r="K81" s="16"/>
      <c r="L81" s="16"/>
      <c r="M81" s="15"/>
      <c r="N81" s="15"/>
      <c r="O81" s="16"/>
      <c r="P81" s="16"/>
      <c r="Q81" s="16"/>
      <c r="R81" s="16"/>
      <c r="S81" s="16"/>
      <c r="T81" s="16"/>
      <c r="U81" s="16"/>
      <c r="V81" s="16"/>
    </row>
    <row r="82" spans="1:22" ht="13.2" hidden="1">
      <c r="A82" s="12">
        <v>80</v>
      </c>
      <c r="B82" s="46"/>
      <c r="C82" s="12"/>
      <c r="D82" s="15"/>
      <c r="E82" s="15"/>
      <c r="F82" s="15"/>
      <c r="G82" s="16"/>
      <c r="H82" s="16"/>
      <c r="I82" s="16"/>
      <c r="J82" s="16"/>
      <c r="K82" s="16"/>
      <c r="L82" s="16"/>
      <c r="M82" s="15"/>
      <c r="N82" s="15"/>
      <c r="O82" s="16"/>
      <c r="P82" s="16"/>
      <c r="Q82" s="16"/>
      <c r="R82" s="16"/>
      <c r="S82" s="16"/>
      <c r="T82" s="16"/>
      <c r="U82" s="16"/>
      <c r="V82" s="16"/>
    </row>
    <row r="83" spans="1:22" ht="13.2" hidden="1">
      <c r="A83" s="12">
        <v>81</v>
      </c>
      <c r="B83" s="46"/>
      <c r="C83" s="12"/>
      <c r="D83" s="15"/>
      <c r="E83" s="15"/>
      <c r="F83" s="15"/>
      <c r="G83" s="16"/>
      <c r="H83" s="16"/>
      <c r="I83" s="16"/>
      <c r="J83" s="16"/>
      <c r="K83" s="16"/>
      <c r="L83" s="16"/>
      <c r="M83" s="15"/>
      <c r="N83" s="15"/>
      <c r="O83" s="16"/>
      <c r="P83" s="16"/>
      <c r="Q83" s="16"/>
      <c r="R83" s="16"/>
      <c r="S83" s="16"/>
      <c r="T83" s="16"/>
      <c r="U83" s="16"/>
      <c r="V83" s="16"/>
    </row>
    <row r="84" spans="1:22" ht="13.2" hidden="1">
      <c r="A84" s="12">
        <v>82</v>
      </c>
      <c r="B84" s="46"/>
      <c r="C84" s="12"/>
      <c r="D84" s="15"/>
      <c r="E84" s="15"/>
      <c r="F84" s="15"/>
      <c r="G84" s="16"/>
      <c r="H84" s="16"/>
      <c r="I84" s="16"/>
      <c r="J84" s="16"/>
      <c r="K84" s="16"/>
      <c r="L84" s="16"/>
      <c r="M84" s="15"/>
      <c r="N84" s="15"/>
      <c r="O84" s="16"/>
      <c r="P84" s="16"/>
      <c r="Q84" s="16"/>
      <c r="R84" s="16"/>
      <c r="S84" s="16"/>
      <c r="T84" s="16"/>
      <c r="U84" s="16"/>
      <c r="V84" s="16"/>
    </row>
    <row r="85" spans="1:22" ht="13.2" hidden="1">
      <c r="A85" s="12">
        <v>83</v>
      </c>
      <c r="B85" s="46"/>
      <c r="C85" s="12"/>
      <c r="D85" s="15"/>
      <c r="E85" s="15"/>
      <c r="F85" s="15"/>
      <c r="G85" s="16"/>
      <c r="H85" s="16"/>
      <c r="I85" s="16"/>
      <c r="J85" s="16"/>
      <c r="K85" s="16"/>
      <c r="L85" s="16"/>
      <c r="M85" s="15"/>
      <c r="N85" s="15"/>
      <c r="O85" s="16"/>
      <c r="P85" s="16"/>
      <c r="Q85" s="16"/>
      <c r="R85" s="16"/>
      <c r="S85" s="16"/>
      <c r="T85" s="16"/>
      <c r="U85" s="16"/>
      <c r="V85" s="16"/>
    </row>
    <row r="86" spans="1:22" ht="13.2" hidden="1">
      <c r="A86" s="12">
        <v>84</v>
      </c>
      <c r="B86" s="46"/>
      <c r="C86" s="12"/>
      <c r="D86" s="15"/>
      <c r="E86" s="15"/>
      <c r="F86" s="15"/>
      <c r="G86" s="16"/>
      <c r="H86" s="16"/>
      <c r="I86" s="16"/>
      <c r="J86" s="16"/>
      <c r="K86" s="16"/>
      <c r="L86" s="16"/>
      <c r="M86" s="15"/>
      <c r="N86" s="15"/>
      <c r="O86" s="16"/>
      <c r="P86" s="16"/>
      <c r="Q86" s="16"/>
      <c r="R86" s="16"/>
      <c r="S86" s="16"/>
      <c r="T86" s="16"/>
      <c r="U86" s="16"/>
      <c r="V86" s="16"/>
    </row>
    <row r="87" spans="1:22" ht="13.2">
      <c r="A87" s="12"/>
      <c r="B87" s="46"/>
      <c r="C87" s="12"/>
      <c r="D87" s="15"/>
      <c r="E87" s="15"/>
      <c r="F87" s="15"/>
      <c r="G87" s="16"/>
      <c r="H87" s="16"/>
      <c r="I87" s="16"/>
      <c r="J87" s="16"/>
      <c r="K87" s="16"/>
      <c r="L87" s="16"/>
      <c r="M87" s="15"/>
      <c r="N87" s="15"/>
      <c r="O87" s="16"/>
      <c r="P87" s="16"/>
      <c r="Q87" s="16"/>
      <c r="R87" s="16"/>
      <c r="S87" s="16"/>
      <c r="T87" s="16"/>
      <c r="U87" s="16"/>
      <c r="V87" s="16"/>
    </row>
    <row r="88" spans="1:22" ht="13.2">
      <c r="A88" s="12"/>
      <c r="B88" s="46"/>
      <c r="C88" s="12"/>
      <c r="D88" s="15"/>
      <c r="E88" s="15"/>
      <c r="F88" s="15"/>
      <c r="G88" s="16"/>
      <c r="H88" s="16"/>
      <c r="I88" s="16"/>
      <c r="J88" s="16"/>
      <c r="K88" s="16"/>
      <c r="L88" s="16"/>
      <c r="M88" s="15"/>
      <c r="N88" s="15"/>
      <c r="O88" s="16"/>
      <c r="P88" s="16"/>
      <c r="Q88" s="16"/>
      <c r="R88" s="16"/>
      <c r="S88" s="16"/>
      <c r="T88" s="16"/>
      <c r="U88" s="16"/>
      <c r="V88" s="16"/>
    </row>
    <row r="89" spans="1:22" ht="13.2">
      <c r="A89" s="12"/>
      <c r="B89" s="46"/>
      <c r="C89" s="12"/>
      <c r="D89" s="15"/>
      <c r="E89" s="15"/>
      <c r="F89" s="15"/>
      <c r="G89" s="16"/>
      <c r="H89" s="16"/>
      <c r="I89" s="16"/>
      <c r="J89" s="16"/>
      <c r="K89" s="16"/>
      <c r="L89" s="16"/>
      <c r="M89" s="15"/>
      <c r="N89" s="15"/>
      <c r="O89" s="16"/>
      <c r="P89" s="16"/>
      <c r="Q89" s="16"/>
      <c r="R89" s="16"/>
      <c r="S89" s="16"/>
      <c r="T89" s="16"/>
      <c r="U89" s="16"/>
      <c r="V89" s="16"/>
    </row>
    <row r="90" spans="1:22" ht="13.2">
      <c r="A90" s="12"/>
      <c r="B90" s="46"/>
      <c r="C90" s="12"/>
      <c r="D90" s="15"/>
      <c r="E90" s="15"/>
      <c r="F90" s="15"/>
      <c r="G90" s="16"/>
      <c r="H90" s="16"/>
      <c r="I90" s="16"/>
      <c r="J90" s="16"/>
      <c r="K90" s="16"/>
      <c r="L90" s="16"/>
      <c r="M90" s="15"/>
      <c r="N90" s="15"/>
      <c r="O90" s="16"/>
      <c r="P90" s="16"/>
      <c r="Q90" s="16"/>
      <c r="R90" s="16"/>
      <c r="S90" s="16"/>
      <c r="T90" s="16"/>
      <c r="U90" s="16"/>
      <c r="V90" s="16"/>
    </row>
    <row r="91" spans="1:22" ht="13.2">
      <c r="A91" s="12"/>
      <c r="B91" s="46"/>
      <c r="C91" s="12"/>
      <c r="D91" s="15"/>
      <c r="E91" s="15"/>
      <c r="F91" s="15"/>
      <c r="G91" s="16"/>
      <c r="H91" s="16"/>
      <c r="I91" s="16"/>
      <c r="J91" s="16"/>
      <c r="K91" s="16"/>
      <c r="L91" s="16"/>
      <c r="M91" s="15"/>
      <c r="N91" s="15"/>
      <c r="O91" s="16"/>
      <c r="P91" s="16"/>
      <c r="Q91" s="16"/>
      <c r="R91" s="16"/>
      <c r="S91" s="16"/>
      <c r="T91" s="16"/>
      <c r="U91" s="16"/>
      <c r="V91" s="16"/>
    </row>
    <row r="92" spans="1:22" ht="13.2">
      <c r="A92" s="12"/>
      <c r="B92" s="46"/>
      <c r="C92" s="12"/>
      <c r="D92" s="15"/>
      <c r="E92" s="15"/>
      <c r="F92" s="15"/>
      <c r="G92" s="16"/>
      <c r="H92" s="16"/>
      <c r="I92" s="16"/>
      <c r="J92" s="16"/>
      <c r="K92" s="16"/>
      <c r="L92" s="16"/>
      <c r="M92" s="15"/>
      <c r="N92" s="15"/>
      <c r="O92" s="16"/>
      <c r="P92" s="16"/>
      <c r="Q92" s="16"/>
      <c r="R92" s="16"/>
      <c r="S92" s="16"/>
      <c r="T92" s="16"/>
      <c r="U92" s="16"/>
      <c r="V92" s="16"/>
    </row>
    <row r="93" spans="1:22" ht="13.2">
      <c r="A93" s="12"/>
      <c r="B93" s="46"/>
      <c r="C93" s="12"/>
      <c r="D93" s="15"/>
      <c r="E93" s="15"/>
      <c r="F93" s="15"/>
      <c r="G93" s="16"/>
      <c r="H93" s="16"/>
      <c r="I93" s="16"/>
      <c r="J93" s="16"/>
      <c r="K93" s="16"/>
      <c r="L93" s="16"/>
      <c r="M93" s="15"/>
      <c r="N93" s="15"/>
      <c r="O93" s="16"/>
      <c r="P93" s="16"/>
      <c r="Q93" s="16"/>
      <c r="R93" s="16"/>
      <c r="S93" s="16"/>
      <c r="T93" s="16"/>
      <c r="U93" s="16"/>
      <c r="V93" s="16"/>
    </row>
    <row r="94" spans="1:22" ht="13.2">
      <c r="A94" s="12"/>
      <c r="B94" s="46"/>
      <c r="C94" s="12"/>
      <c r="D94" s="15"/>
      <c r="E94" s="15"/>
      <c r="F94" s="15"/>
      <c r="G94" s="16"/>
      <c r="H94" s="16"/>
      <c r="I94" s="16"/>
      <c r="J94" s="16"/>
      <c r="K94" s="16"/>
      <c r="L94" s="16"/>
      <c r="M94" s="15"/>
      <c r="N94" s="15"/>
      <c r="O94" s="16"/>
      <c r="P94" s="16"/>
      <c r="Q94" s="16"/>
      <c r="R94" s="16"/>
      <c r="S94" s="16"/>
      <c r="T94" s="16"/>
      <c r="U94" s="16"/>
      <c r="V94" s="16"/>
    </row>
    <row r="95" spans="1:22" ht="13.2">
      <c r="A95" s="12"/>
      <c r="B95" s="46"/>
      <c r="C95" s="12"/>
      <c r="D95" s="15"/>
      <c r="E95" s="15"/>
      <c r="F95" s="15"/>
      <c r="G95" s="16"/>
      <c r="H95" s="16"/>
      <c r="I95" s="16"/>
      <c r="J95" s="16"/>
      <c r="K95" s="16"/>
      <c r="L95" s="16"/>
      <c r="M95" s="15"/>
      <c r="N95" s="15"/>
      <c r="O95" s="16"/>
      <c r="P95" s="16"/>
      <c r="Q95" s="16"/>
      <c r="R95" s="16"/>
      <c r="S95" s="16"/>
      <c r="T95" s="16"/>
      <c r="U95" s="16"/>
      <c r="V95" s="16"/>
    </row>
    <row r="96" spans="1:22" ht="13.2">
      <c r="A96" s="12"/>
      <c r="B96" s="46"/>
      <c r="C96" s="12"/>
      <c r="D96" s="15"/>
      <c r="E96" s="15"/>
      <c r="F96" s="15"/>
      <c r="G96" s="16"/>
      <c r="H96" s="16"/>
      <c r="I96" s="16"/>
      <c r="J96" s="16"/>
      <c r="K96" s="16"/>
      <c r="L96" s="16"/>
      <c r="M96" s="15"/>
      <c r="N96" s="15"/>
      <c r="O96" s="16"/>
      <c r="P96" s="16"/>
      <c r="Q96" s="16"/>
      <c r="R96" s="16"/>
      <c r="S96" s="16"/>
      <c r="T96" s="16"/>
      <c r="U96" s="16"/>
      <c r="V96" s="16"/>
    </row>
    <row r="97" spans="1:22" ht="13.2">
      <c r="A97" s="12"/>
      <c r="B97" s="46"/>
      <c r="C97" s="12"/>
      <c r="D97" s="15"/>
      <c r="E97" s="15"/>
      <c r="F97" s="15"/>
      <c r="G97" s="16"/>
      <c r="H97" s="16"/>
      <c r="I97" s="16"/>
      <c r="J97" s="16"/>
      <c r="K97" s="16"/>
      <c r="L97" s="16"/>
      <c r="M97" s="15"/>
      <c r="N97" s="15"/>
      <c r="O97" s="16"/>
      <c r="P97" s="16"/>
      <c r="Q97" s="16"/>
      <c r="R97" s="16"/>
      <c r="S97" s="16"/>
      <c r="T97" s="16"/>
      <c r="U97" s="16"/>
      <c r="V97" s="16"/>
    </row>
    <row r="98" spans="1:22" ht="13.2">
      <c r="A98" s="12"/>
      <c r="B98" s="46"/>
      <c r="C98" s="12"/>
      <c r="D98" s="15"/>
      <c r="E98" s="15"/>
      <c r="F98" s="15"/>
      <c r="G98" s="16"/>
      <c r="H98" s="16"/>
      <c r="I98" s="16"/>
      <c r="J98" s="16"/>
      <c r="K98" s="16"/>
      <c r="L98" s="16"/>
      <c r="M98" s="15"/>
      <c r="N98" s="15"/>
      <c r="O98" s="16"/>
      <c r="P98" s="16"/>
      <c r="Q98" s="16"/>
      <c r="R98" s="16"/>
      <c r="S98" s="16"/>
      <c r="T98" s="16"/>
      <c r="U98" s="16"/>
      <c r="V98" s="16"/>
    </row>
    <row r="99" spans="1:22" ht="13.2">
      <c r="A99" s="12"/>
      <c r="B99" s="46"/>
      <c r="C99" s="12"/>
      <c r="D99" s="15"/>
      <c r="E99" s="15"/>
      <c r="F99" s="15"/>
      <c r="G99" s="16"/>
      <c r="H99" s="16"/>
      <c r="I99" s="16"/>
      <c r="J99" s="16"/>
      <c r="K99" s="16"/>
      <c r="L99" s="16"/>
      <c r="M99" s="15"/>
      <c r="N99" s="15"/>
      <c r="O99" s="16"/>
      <c r="P99" s="16"/>
      <c r="Q99" s="16"/>
      <c r="R99" s="16"/>
      <c r="S99" s="16"/>
      <c r="T99" s="16"/>
      <c r="U99" s="16"/>
      <c r="V99" s="16"/>
    </row>
    <row r="100" spans="1:22" ht="13.2">
      <c r="A100" s="12"/>
      <c r="B100" s="46"/>
      <c r="C100" s="12"/>
      <c r="D100" s="15"/>
      <c r="E100" s="15"/>
      <c r="F100" s="15"/>
      <c r="G100" s="16"/>
      <c r="H100" s="16"/>
      <c r="I100" s="16"/>
      <c r="J100" s="16"/>
      <c r="K100" s="16"/>
      <c r="L100" s="16"/>
      <c r="M100" s="15"/>
      <c r="N100" s="15"/>
      <c r="O100" s="16"/>
      <c r="P100" s="16"/>
      <c r="Q100" s="16"/>
      <c r="R100" s="16"/>
      <c r="S100" s="16"/>
      <c r="T100" s="16"/>
      <c r="U100" s="16"/>
      <c r="V100" s="16"/>
    </row>
    <row r="101" spans="1:22" ht="13.2">
      <c r="A101" s="12"/>
      <c r="B101" s="46"/>
      <c r="C101" s="12"/>
      <c r="D101" s="15"/>
      <c r="E101" s="15"/>
      <c r="F101" s="15"/>
      <c r="G101" s="16"/>
      <c r="H101" s="16"/>
      <c r="I101" s="16"/>
      <c r="J101" s="16"/>
      <c r="K101" s="16"/>
      <c r="L101" s="16"/>
      <c r="M101" s="15"/>
      <c r="N101" s="15"/>
      <c r="O101" s="16"/>
      <c r="P101" s="16"/>
      <c r="Q101" s="16"/>
      <c r="R101" s="16"/>
      <c r="S101" s="16"/>
      <c r="T101" s="16"/>
      <c r="U101" s="16"/>
      <c r="V101" s="16"/>
    </row>
    <row r="102" spans="1:22" ht="13.2">
      <c r="A102" s="12"/>
      <c r="B102" s="46"/>
      <c r="C102" s="12"/>
      <c r="D102" s="15"/>
      <c r="E102" s="15"/>
      <c r="F102" s="15"/>
      <c r="G102" s="16"/>
      <c r="H102" s="16"/>
      <c r="I102" s="16"/>
      <c r="J102" s="16"/>
      <c r="K102" s="16"/>
      <c r="L102" s="16"/>
      <c r="M102" s="15"/>
      <c r="N102" s="15"/>
      <c r="O102" s="16"/>
      <c r="P102" s="16"/>
      <c r="Q102" s="16"/>
      <c r="R102" s="16"/>
      <c r="S102" s="16"/>
      <c r="T102" s="16"/>
      <c r="U102" s="16"/>
      <c r="V102" s="16"/>
    </row>
    <row r="103" spans="1:22" ht="13.2">
      <c r="A103" s="12"/>
      <c r="B103" s="46"/>
      <c r="C103" s="12"/>
      <c r="D103" s="15"/>
      <c r="E103" s="15"/>
      <c r="F103" s="15"/>
      <c r="G103" s="16"/>
      <c r="H103" s="16"/>
      <c r="I103" s="16"/>
      <c r="J103" s="16"/>
      <c r="K103" s="16"/>
      <c r="L103" s="16"/>
      <c r="M103" s="15"/>
      <c r="N103" s="15"/>
      <c r="O103" s="16"/>
      <c r="P103" s="16"/>
      <c r="Q103" s="16"/>
      <c r="R103" s="16"/>
      <c r="S103" s="16"/>
      <c r="T103" s="16"/>
      <c r="U103" s="16"/>
      <c r="V103" s="16"/>
    </row>
    <row r="104" spans="1:22" ht="13.2">
      <c r="A104" s="12"/>
      <c r="B104" s="46"/>
      <c r="C104" s="12"/>
      <c r="D104" s="15"/>
      <c r="E104" s="15"/>
      <c r="F104" s="15"/>
      <c r="G104" s="16"/>
      <c r="H104" s="16"/>
      <c r="I104" s="16"/>
      <c r="J104" s="16"/>
      <c r="K104" s="16"/>
      <c r="L104" s="16"/>
      <c r="M104" s="15"/>
      <c r="N104" s="15"/>
      <c r="O104" s="16"/>
      <c r="P104" s="16"/>
      <c r="Q104" s="16"/>
      <c r="R104" s="16"/>
      <c r="S104" s="16"/>
      <c r="T104" s="16"/>
      <c r="U104" s="16"/>
      <c r="V104" s="16"/>
    </row>
    <row r="105" spans="1:22" ht="13.2">
      <c r="A105" s="12"/>
      <c r="B105" s="46"/>
      <c r="C105" s="12"/>
      <c r="D105" s="15"/>
      <c r="E105" s="15"/>
      <c r="F105" s="15"/>
      <c r="G105" s="16"/>
      <c r="H105" s="16"/>
      <c r="I105" s="16"/>
      <c r="J105" s="16"/>
      <c r="K105" s="16"/>
      <c r="L105" s="16"/>
      <c r="M105" s="15"/>
      <c r="N105" s="15"/>
      <c r="O105" s="16"/>
      <c r="P105" s="16"/>
      <c r="Q105" s="16"/>
      <c r="R105" s="16"/>
      <c r="S105" s="16"/>
      <c r="T105" s="16"/>
      <c r="U105" s="16"/>
      <c r="V105" s="16"/>
    </row>
    <row r="106" spans="1:22" ht="13.2">
      <c r="A106" s="12"/>
      <c r="B106" s="46"/>
      <c r="C106" s="12"/>
      <c r="D106" s="15"/>
      <c r="E106" s="15"/>
      <c r="F106" s="15"/>
      <c r="G106" s="16"/>
      <c r="H106" s="16"/>
      <c r="I106" s="16"/>
      <c r="J106" s="16"/>
      <c r="K106" s="16"/>
      <c r="L106" s="16"/>
      <c r="M106" s="15"/>
      <c r="N106" s="15"/>
      <c r="O106" s="16"/>
      <c r="P106" s="16"/>
      <c r="Q106" s="16"/>
      <c r="R106" s="16"/>
      <c r="S106" s="16"/>
      <c r="T106" s="16"/>
      <c r="U106" s="16"/>
      <c r="V106" s="16"/>
    </row>
    <row r="107" spans="1:22" ht="13.2">
      <c r="A107" s="12"/>
      <c r="B107" s="46"/>
      <c r="C107" s="12"/>
      <c r="D107" s="15"/>
      <c r="E107" s="15"/>
      <c r="F107" s="15"/>
      <c r="G107" s="16"/>
      <c r="H107" s="16"/>
      <c r="I107" s="16"/>
      <c r="J107" s="16"/>
      <c r="K107" s="16"/>
      <c r="L107" s="16"/>
      <c r="M107" s="15"/>
      <c r="N107" s="15"/>
      <c r="O107" s="16"/>
      <c r="P107" s="16"/>
      <c r="Q107" s="16"/>
      <c r="R107" s="16"/>
      <c r="S107" s="16"/>
      <c r="T107" s="16"/>
      <c r="U107" s="16"/>
      <c r="V107" s="16"/>
    </row>
    <row r="108" spans="1:22" ht="13.2">
      <c r="A108" s="12"/>
      <c r="B108" s="46"/>
      <c r="C108" s="12"/>
      <c r="D108" s="15"/>
      <c r="E108" s="15"/>
      <c r="F108" s="15"/>
      <c r="G108" s="16"/>
      <c r="H108" s="16"/>
      <c r="I108" s="16"/>
      <c r="J108" s="16"/>
      <c r="K108" s="16"/>
      <c r="L108" s="16"/>
      <c r="M108" s="15"/>
      <c r="N108" s="15"/>
      <c r="O108" s="16"/>
      <c r="P108" s="16"/>
      <c r="Q108" s="16"/>
      <c r="R108" s="16"/>
      <c r="S108" s="16"/>
      <c r="T108" s="16"/>
      <c r="U108" s="16"/>
      <c r="V108" s="16"/>
    </row>
    <row r="109" spans="1:22" ht="13.2">
      <c r="A109" s="12"/>
      <c r="B109" s="46"/>
      <c r="C109" s="12"/>
      <c r="D109" s="15"/>
      <c r="E109" s="15"/>
      <c r="F109" s="15"/>
      <c r="G109" s="16"/>
      <c r="H109" s="16"/>
      <c r="I109" s="16"/>
      <c r="J109" s="16"/>
      <c r="K109" s="16"/>
      <c r="L109" s="16"/>
      <c r="M109" s="15"/>
      <c r="N109" s="15"/>
      <c r="O109" s="16"/>
      <c r="P109" s="16"/>
      <c r="Q109" s="16"/>
      <c r="R109" s="16"/>
      <c r="S109" s="16"/>
      <c r="T109" s="16"/>
      <c r="U109" s="16"/>
      <c r="V109" s="16"/>
    </row>
    <row r="110" spans="1:22" ht="13.2">
      <c r="A110" s="12"/>
      <c r="B110" s="46"/>
      <c r="C110" s="12"/>
      <c r="D110" s="15"/>
      <c r="E110" s="15"/>
      <c r="F110" s="15"/>
      <c r="G110" s="16"/>
      <c r="H110" s="16"/>
      <c r="I110" s="16"/>
      <c r="J110" s="16"/>
      <c r="K110" s="16"/>
      <c r="L110" s="16"/>
      <c r="M110" s="15"/>
      <c r="N110" s="15"/>
      <c r="O110" s="16"/>
      <c r="P110" s="16"/>
      <c r="Q110" s="16"/>
      <c r="R110" s="16"/>
      <c r="S110" s="16"/>
      <c r="T110" s="16"/>
      <c r="U110" s="16"/>
      <c r="V110" s="16"/>
    </row>
    <row r="111" spans="1:22" ht="13.2">
      <c r="A111" s="12"/>
      <c r="B111" s="46"/>
      <c r="C111" s="12"/>
      <c r="D111" s="15"/>
      <c r="E111" s="15"/>
      <c r="F111" s="15"/>
      <c r="G111" s="16"/>
      <c r="H111" s="16"/>
      <c r="I111" s="16"/>
      <c r="J111" s="16"/>
      <c r="K111" s="16"/>
      <c r="L111" s="16"/>
      <c r="M111" s="15"/>
      <c r="N111" s="15"/>
      <c r="O111" s="16"/>
      <c r="P111" s="16"/>
      <c r="Q111" s="16"/>
      <c r="R111" s="16"/>
      <c r="S111" s="16"/>
      <c r="T111" s="16"/>
      <c r="U111" s="16"/>
      <c r="V111" s="16"/>
    </row>
    <row r="112" spans="1:22" ht="13.2">
      <c r="A112" s="12"/>
      <c r="B112" s="46"/>
      <c r="C112" s="12"/>
      <c r="D112" s="15"/>
      <c r="E112" s="15"/>
      <c r="F112" s="15"/>
      <c r="G112" s="16"/>
      <c r="H112" s="16"/>
      <c r="I112" s="16"/>
      <c r="J112" s="16"/>
      <c r="K112" s="16"/>
      <c r="L112" s="16"/>
      <c r="M112" s="15"/>
      <c r="N112" s="15"/>
      <c r="O112" s="16"/>
      <c r="P112" s="16"/>
      <c r="Q112" s="16"/>
      <c r="R112" s="16"/>
      <c r="S112" s="16"/>
      <c r="T112" s="16"/>
      <c r="U112" s="16"/>
      <c r="V112" s="16"/>
    </row>
    <row r="113" spans="1:22" ht="13.2">
      <c r="A113" s="12"/>
      <c r="B113" s="46"/>
      <c r="C113" s="12"/>
      <c r="D113" s="15"/>
      <c r="E113" s="15"/>
      <c r="F113" s="15"/>
      <c r="G113" s="16"/>
      <c r="H113" s="16"/>
      <c r="I113" s="16"/>
      <c r="J113" s="16"/>
      <c r="K113" s="16"/>
      <c r="L113" s="16"/>
      <c r="M113" s="15"/>
      <c r="N113" s="15"/>
      <c r="O113" s="16"/>
      <c r="P113" s="16"/>
      <c r="Q113" s="16"/>
      <c r="R113" s="16"/>
      <c r="S113" s="16"/>
      <c r="T113" s="16"/>
      <c r="U113" s="16"/>
      <c r="V113" s="16"/>
    </row>
    <row r="114" spans="1:22" ht="13.2">
      <c r="A114" s="12"/>
      <c r="B114" s="46"/>
      <c r="C114" s="12"/>
      <c r="D114" s="15"/>
      <c r="E114" s="15"/>
      <c r="F114" s="15"/>
      <c r="G114" s="16"/>
      <c r="H114" s="16"/>
      <c r="I114" s="16"/>
      <c r="J114" s="16"/>
      <c r="K114" s="16"/>
      <c r="L114" s="16"/>
      <c r="M114" s="15"/>
      <c r="N114" s="15"/>
      <c r="O114" s="16"/>
      <c r="P114" s="16"/>
      <c r="Q114" s="16"/>
      <c r="R114" s="16"/>
      <c r="S114" s="16"/>
      <c r="T114" s="16"/>
      <c r="U114" s="16"/>
      <c r="V114" s="16"/>
    </row>
    <row r="115" spans="1:22" ht="13.2">
      <c r="A115" s="12"/>
      <c r="B115" s="46"/>
      <c r="C115" s="12"/>
      <c r="D115" s="15"/>
      <c r="E115" s="15"/>
      <c r="F115" s="15"/>
      <c r="G115" s="16"/>
      <c r="H115" s="16"/>
      <c r="I115" s="16"/>
      <c r="J115" s="16"/>
      <c r="K115" s="16"/>
      <c r="L115" s="16"/>
      <c r="M115" s="15"/>
      <c r="N115" s="15"/>
      <c r="O115" s="16"/>
      <c r="P115" s="16"/>
      <c r="Q115" s="16"/>
      <c r="R115" s="16"/>
      <c r="S115" s="16"/>
      <c r="T115" s="16"/>
      <c r="U115" s="16"/>
      <c r="V115" s="16"/>
    </row>
    <row r="116" spans="1:22" ht="13.2">
      <c r="A116" s="12"/>
      <c r="B116" s="46"/>
      <c r="C116" s="12"/>
      <c r="D116" s="15"/>
      <c r="E116" s="15"/>
      <c r="F116" s="15"/>
      <c r="G116" s="16"/>
      <c r="H116" s="16"/>
      <c r="I116" s="16"/>
      <c r="J116" s="16"/>
      <c r="K116" s="16"/>
      <c r="L116" s="16"/>
      <c r="M116" s="15"/>
      <c r="N116" s="15"/>
      <c r="O116" s="16"/>
      <c r="P116" s="16"/>
      <c r="Q116" s="16"/>
      <c r="R116" s="16"/>
      <c r="S116" s="16"/>
      <c r="T116" s="16"/>
      <c r="U116" s="16"/>
      <c r="V116" s="16"/>
    </row>
    <row r="117" spans="1:22" ht="13.2">
      <c r="A117" s="12"/>
      <c r="B117" s="46"/>
      <c r="C117" s="12"/>
      <c r="D117" s="15"/>
      <c r="E117" s="15"/>
      <c r="F117" s="15"/>
      <c r="G117" s="16"/>
      <c r="H117" s="16"/>
      <c r="I117" s="16"/>
      <c r="J117" s="16"/>
      <c r="K117" s="16"/>
      <c r="L117" s="16"/>
      <c r="M117" s="15"/>
      <c r="N117" s="15"/>
      <c r="O117" s="16"/>
      <c r="P117" s="16"/>
      <c r="Q117" s="16"/>
      <c r="R117" s="16"/>
      <c r="S117" s="16"/>
      <c r="T117" s="16"/>
      <c r="U117" s="16"/>
      <c r="V117" s="16"/>
    </row>
    <row r="118" spans="1:22" ht="13.2">
      <c r="A118" s="12"/>
      <c r="B118" s="46"/>
      <c r="C118" s="12"/>
      <c r="D118" s="15"/>
      <c r="E118" s="15"/>
      <c r="F118" s="15"/>
      <c r="G118" s="16"/>
      <c r="H118" s="16"/>
      <c r="I118" s="16"/>
      <c r="J118" s="16"/>
      <c r="K118" s="16"/>
      <c r="L118" s="16"/>
      <c r="M118" s="15"/>
      <c r="N118" s="15"/>
      <c r="O118" s="16"/>
      <c r="P118" s="16"/>
      <c r="Q118" s="16"/>
      <c r="R118" s="16"/>
      <c r="S118" s="16"/>
      <c r="T118" s="16"/>
      <c r="U118" s="16"/>
      <c r="V118" s="16"/>
    </row>
    <row r="119" spans="1:22" ht="13.2">
      <c r="A119" s="12"/>
      <c r="B119" s="46"/>
      <c r="C119" s="12"/>
      <c r="D119" s="15"/>
      <c r="E119" s="15"/>
      <c r="F119" s="15"/>
      <c r="G119" s="16"/>
      <c r="H119" s="16"/>
      <c r="I119" s="16"/>
      <c r="J119" s="16"/>
      <c r="K119" s="16"/>
      <c r="L119" s="16"/>
      <c r="M119" s="15"/>
      <c r="N119" s="15"/>
      <c r="O119" s="16"/>
      <c r="P119" s="16"/>
      <c r="Q119" s="16"/>
      <c r="R119" s="16"/>
      <c r="S119" s="16"/>
      <c r="T119" s="16"/>
      <c r="U119" s="16"/>
      <c r="V119" s="16"/>
    </row>
    <row r="120" spans="1:22" ht="13.2">
      <c r="A120" s="12"/>
      <c r="B120" s="46"/>
      <c r="C120" s="12"/>
      <c r="D120" s="15"/>
      <c r="E120" s="15"/>
      <c r="F120" s="15"/>
      <c r="G120" s="16"/>
      <c r="H120" s="16"/>
      <c r="I120" s="16"/>
      <c r="J120" s="16"/>
      <c r="K120" s="16"/>
      <c r="L120" s="16"/>
      <c r="M120" s="15"/>
      <c r="N120" s="15"/>
      <c r="O120" s="16"/>
      <c r="P120" s="16"/>
      <c r="Q120" s="16"/>
      <c r="R120" s="16"/>
      <c r="S120" s="16"/>
      <c r="T120" s="16"/>
      <c r="U120" s="16"/>
      <c r="V120" s="16"/>
    </row>
    <row r="121" spans="1:22" ht="13.2">
      <c r="A121" s="12"/>
      <c r="B121" s="46"/>
      <c r="C121" s="12"/>
      <c r="D121" s="15"/>
      <c r="E121" s="15"/>
      <c r="F121" s="15"/>
      <c r="G121" s="16"/>
      <c r="H121" s="16"/>
      <c r="I121" s="16"/>
      <c r="J121" s="16"/>
      <c r="K121" s="16"/>
      <c r="L121" s="16"/>
      <c r="M121" s="15"/>
      <c r="N121" s="15"/>
      <c r="O121" s="16"/>
      <c r="P121" s="16"/>
      <c r="Q121" s="16"/>
      <c r="R121" s="16"/>
      <c r="S121" s="16"/>
      <c r="T121" s="16"/>
      <c r="U121" s="16"/>
      <c r="V121" s="16"/>
    </row>
    <row r="122" spans="1:22" ht="13.2">
      <c r="A122" s="12"/>
      <c r="B122" s="46"/>
      <c r="C122" s="12"/>
      <c r="D122" s="15"/>
      <c r="E122" s="15"/>
      <c r="F122" s="15"/>
      <c r="G122" s="16"/>
      <c r="H122" s="16"/>
      <c r="I122" s="16"/>
      <c r="J122" s="16"/>
      <c r="K122" s="16"/>
      <c r="L122" s="16"/>
      <c r="M122" s="15"/>
      <c r="N122" s="15"/>
      <c r="O122" s="16"/>
      <c r="P122" s="16"/>
      <c r="Q122" s="16"/>
      <c r="R122" s="16"/>
      <c r="S122" s="16"/>
      <c r="T122" s="16"/>
      <c r="U122" s="16"/>
      <c r="V122" s="16"/>
    </row>
    <row r="123" spans="1:22" ht="13.2">
      <c r="A123" s="12"/>
      <c r="B123" s="46"/>
      <c r="C123" s="12"/>
      <c r="D123" s="15"/>
      <c r="E123" s="15"/>
      <c r="F123" s="15"/>
      <c r="G123" s="16"/>
      <c r="H123" s="16"/>
      <c r="I123" s="16"/>
      <c r="J123" s="16"/>
      <c r="K123" s="16"/>
      <c r="L123" s="16"/>
      <c r="M123" s="15"/>
      <c r="N123" s="15"/>
      <c r="O123" s="16"/>
      <c r="P123" s="16"/>
      <c r="Q123" s="16"/>
      <c r="R123" s="16"/>
      <c r="S123" s="16"/>
      <c r="T123" s="16"/>
      <c r="U123" s="16"/>
      <c r="V123" s="16"/>
    </row>
    <row r="124" spans="1:22" ht="13.2">
      <c r="A124" s="12"/>
      <c r="B124" s="46"/>
      <c r="C124" s="12"/>
      <c r="D124" s="15"/>
      <c r="E124" s="15"/>
      <c r="F124" s="15"/>
      <c r="G124" s="16"/>
      <c r="H124" s="16"/>
      <c r="I124" s="16"/>
      <c r="J124" s="16"/>
      <c r="K124" s="16"/>
      <c r="L124" s="16"/>
      <c r="M124" s="15"/>
      <c r="N124" s="15"/>
      <c r="O124" s="16"/>
      <c r="P124" s="16"/>
      <c r="Q124" s="16"/>
      <c r="R124" s="16"/>
      <c r="S124" s="16"/>
      <c r="T124" s="16"/>
      <c r="U124" s="16"/>
      <c r="V124" s="16"/>
    </row>
    <row r="125" spans="1:22" ht="13.2">
      <c r="A125" s="12"/>
      <c r="B125" s="46"/>
      <c r="C125" s="12"/>
      <c r="D125" s="15"/>
      <c r="E125" s="15"/>
      <c r="F125" s="15"/>
      <c r="G125" s="16"/>
      <c r="H125" s="16"/>
      <c r="I125" s="16"/>
      <c r="J125" s="16"/>
      <c r="K125" s="16"/>
      <c r="L125" s="16"/>
      <c r="M125" s="15"/>
      <c r="N125" s="15"/>
      <c r="O125" s="16"/>
      <c r="P125" s="16"/>
      <c r="Q125" s="16"/>
      <c r="R125" s="16"/>
      <c r="S125" s="16"/>
      <c r="T125" s="16"/>
      <c r="U125" s="16"/>
      <c r="V125" s="16"/>
    </row>
    <row r="126" spans="1:22" ht="13.2">
      <c r="A126" s="12"/>
      <c r="B126" s="46"/>
      <c r="C126" s="12"/>
      <c r="D126" s="15"/>
      <c r="E126" s="15"/>
      <c r="F126" s="15"/>
      <c r="G126" s="16"/>
      <c r="H126" s="16"/>
      <c r="I126" s="16"/>
      <c r="J126" s="16"/>
      <c r="K126" s="16"/>
      <c r="L126" s="16"/>
      <c r="M126" s="15"/>
      <c r="N126" s="15"/>
      <c r="O126" s="16"/>
      <c r="P126" s="16"/>
      <c r="Q126" s="16"/>
      <c r="R126" s="16"/>
      <c r="S126" s="16"/>
      <c r="T126" s="16"/>
      <c r="U126" s="16"/>
      <c r="V126" s="16"/>
    </row>
    <row r="127" spans="1:22" ht="13.2">
      <c r="A127" s="12"/>
      <c r="B127" s="46"/>
      <c r="C127" s="12"/>
      <c r="D127" s="15"/>
      <c r="E127" s="15"/>
      <c r="F127" s="15"/>
      <c r="G127" s="16"/>
      <c r="H127" s="16"/>
      <c r="I127" s="16"/>
      <c r="J127" s="16"/>
      <c r="K127" s="16"/>
      <c r="L127" s="16"/>
      <c r="M127" s="15"/>
      <c r="N127" s="15"/>
      <c r="O127" s="16"/>
      <c r="P127" s="16"/>
      <c r="Q127" s="16"/>
      <c r="R127" s="16"/>
      <c r="S127" s="16"/>
      <c r="T127" s="16"/>
      <c r="U127" s="16"/>
      <c r="V127" s="16"/>
    </row>
    <row r="128" spans="1:22" ht="13.2">
      <c r="A128" s="12"/>
      <c r="B128" s="46"/>
      <c r="C128" s="12"/>
      <c r="D128" s="15"/>
      <c r="E128" s="15"/>
      <c r="F128" s="15"/>
      <c r="G128" s="16"/>
      <c r="H128" s="16"/>
      <c r="I128" s="16"/>
      <c r="J128" s="16"/>
      <c r="K128" s="16"/>
      <c r="L128" s="16"/>
      <c r="M128" s="15"/>
      <c r="N128" s="15"/>
      <c r="O128" s="16"/>
      <c r="P128" s="16"/>
      <c r="Q128" s="16"/>
      <c r="R128" s="16"/>
      <c r="S128" s="16"/>
      <c r="T128" s="16"/>
      <c r="U128" s="16"/>
      <c r="V128" s="16"/>
    </row>
    <row r="129" spans="1:22" ht="13.2">
      <c r="A129" s="12"/>
      <c r="B129" s="46"/>
      <c r="C129" s="12"/>
      <c r="D129" s="15"/>
      <c r="E129" s="15"/>
      <c r="F129" s="15"/>
      <c r="G129" s="16"/>
      <c r="H129" s="16"/>
      <c r="I129" s="16"/>
      <c r="J129" s="16"/>
      <c r="K129" s="16"/>
      <c r="L129" s="16"/>
      <c r="M129" s="15"/>
      <c r="N129" s="15"/>
      <c r="O129" s="16"/>
      <c r="P129" s="16"/>
      <c r="Q129" s="16"/>
      <c r="R129" s="16"/>
      <c r="S129" s="16"/>
      <c r="T129" s="16"/>
      <c r="U129" s="16"/>
      <c r="V129" s="16"/>
    </row>
    <row r="130" spans="1:22" ht="13.2">
      <c r="A130" s="12"/>
      <c r="B130" s="46"/>
      <c r="C130" s="12"/>
      <c r="D130" s="15"/>
      <c r="E130" s="15"/>
      <c r="F130" s="15"/>
      <c r="G130" s="16"/>
      <c r="H130" s="16"/>
      <c r="I130" s="16"/>
      <c r="J130" s="16"/>
      <c r="K130" s="16"/>
      <c r="L130" s="16"/>
      <c r="M130" s="15"/>
      <c r="N130" s="15"/>
      <c r="O130" s="16"/>
      <c r="P130" s="16"/>
      <c r="Q130" s="16"/>
      <c r="R130" s="16"/>
      <c r="S130" s="16"/>
      <c r="T130" s="16"/>
      <c r="U130" s="16"/>
      <c r="V130" s="16"/>
    </row>
    <row r="131" spans="1:22" ht="13.2">
      <c r="A131" s="12"/>
      <c r="B131" s="46"/>
      <c r="C131" s="12"/>
      <c r="D131" s="15"/>
      <c r="E131" s="15"/>
      <c r="F131" s="15"/>
      <c r="G131" s="16"/>
      <c r="H131" s="16"/>
      <c r="I131" s="16"/>
      <c r="J131" s="16"/>
      <c r="K131" s="16"/>
      <c r="L131" s="16"/>
      <c r="M131" s="15"/>
      <c r="N131" s="15"/>
      <c r="O131" s="16"/>
      <c r="P131" s="16"/>
      <c r="Q131" s="16"/>
      <c r="R131" s="16"/>
      <c r="S131" s="16"/>
      <c r="T131" s="16"/>
      <c r="U131" s="16"/>
      <c r="V131" s="16"/>
    </row>
    <row r="132" spans="1:22" ht="13.2">
      <c r="A132" s="12"/>
      <c r="B132" s="46"/>
      <c r="C132" s="12"/>
      <c r="D132" s="15"/>
      <c r="E132" s="15"/>
      <c r="F132" s="15"/>
      <c r="G132" s="16"/>
      <c r="H132" s="16"/>
      <c r="I132" s="16"/>
      <c r="J132" s="16"/>
      <c r="K132" s="16"/>
      <c r="L132" s="16"/>
      <c r="M132" s="15"/>
      <c r="N132" s="15"/>
      <c r="O132" s="16"/>
      <c r="P132" s="16"/>
      <c r="Q132" s="16"/>
      <c r="R132" s="16"/>
      <c r="S132" s="16"/>
      <c r="T132" s="16"/>
      <c r="U132" s="16"/>
      <c r="V132" s="16"/>
    </row>
    <row r="133" spans="1:22" ht="13.2">
      <c r="A133" s="12"/>
      <c r="B133" s="46"/>
      <c r="C133" s="12"/>
      <c r="D133" s="15"/>
      <c r="E133" s="15"/>
      <c r="F133" s="15"/>
      <c r="G133" s="16"/>
      <c r="H133" s="16"/>
      <c r="I133" s="16"/>
      <c r="J133" s="16"/>
      <c r="K133" s="16"/>
      <c r="L133" s="16"/>
      <c r="M133" s="15"/>
      <c r="N133" s="15"/>
      <c r="O133" s="16"/>
      <c r="P133" s="16"/>
      <c r="Q133" s="16"/>
      <c r="R133" s="16"/>
      <c r="S133" s="16"/>
      <c r="T133" s="16"/>
      <c r="U133" s="16"/>
      <c r="V133" s="16"/>
    </row>
    <row r="134" spans="1:22" ht="13.2">
      <c r="A134" s="12"/>
      <c r="B134" s="46"/>
      <c r="C134" s="12"/>
      <c r="D134" s="15"/>
      <c r="E134" s="15"/>
      <c r="F134" s="15"/>
      <c r="G134" s="16"/>
      <c r="H134" s="16"/>
      <c r="I134" s="16"/>
      <c r="J134" s="16"/>
      <c r="K134" s="16"/>
      <c r="L134" s="16"/>
      <c r="M134" s="15"/>
      <c r="N134" s="15"/>
      <c r="O134" s="16"/>
      <c r="P134" s="16"/>
      <c r="Q134" s="16"/>
      <c r="R134" s="16"/>
      <c r="S134" s="16"/>
      <c r="T134" s="16"/>
      <c r="U134" s="16"/>
      <c r="V134" s="16"/>
    </row>
    <row r="135" spans="1:22" ht="13.2">
      <c r="A135" s="12"/>
      <c r="B135" s="46"/>
      <c r="C135" s="12"/>
      <c r="D135" s="15"/>
      <c r="E135" s="15"/>
      <c r="F135" s="15"/>
      <c r="G135" s="16"/>
      <c r="H135" s="16"/>
      <c r="I135" s="16"/>
      <c r="J135" s="16"/>
      <c r="K135" s="16"/>
      <c r="L135" s="16"/>
      <c r="M135" s="15"/>
      <c r="N135" s="15"/>
      <c r="O135" s="16"/>
      <c r="P135" s="16"/>
      <c r="Q135" s="16"/>
      <c r="R135" s="16"/>
      <c r="S135" s="16"/>
      <c r="T135" s="16"/>
      <c r="U135" s="16"/>
      <c r="V135" s="16"/>
    </row>
    <row r="136" spans="1:22" ht="13.2">
      <c r="A136" s="12"/>
      <c r="B136" s="46"/>
      <c r="C136" s="12"/>
      <c r="D136" s="15"/>
      <c r="E136" s="15"/>
      <c r="F136" s="15"/>
      <c r="G136" s="16"/>
      <c r="H136" s="16"/>
      <c r="I136" s="16"/>
      <c r="J136" s="16"/>
      <c r="K136" s="16"/>
      <c r="L136" s="16"/>
      <c r="M136" s="15"/>
      <c r="N136" s="15"/>
      <c r="O136" s="16"/>
      <c r="P136" s="16"/>
      <c r="Q136" s="16"/>
      <c r="R136" s="16"/>
      <c r="S136" s="16"/>
      <c r="T136" s="16"/>
      <c r="U136" s="16"/>
      <c r="V136" s="16"/>
    </row>
    <row r="137" spans="1:22" ht="13.2">
      <c r="A137" s="12"/>
      <c r="B137" s="46"/>
      <c r="C137" s="12"/>
      <c r="D137" s="15"/>
      <c r="E137" s="15"/>
      <c r="F137" s="15"/>
      <c r="G137" s="16"/>
      <c r="H137" s="16"/>
      <c r="I137" s="16"/>
      <c r="J137" s="16"/>
      <c r="K137" s="16"/>
      <c r="L137" s="16"/>
      <c r="M137" s="15"/>
      <c r="N137" s="15"/>
      <c r="O137" s="16"/>
      <c r="P137" s="16"/>
      <c r="Q137" s="16"/>
      <c r="R137" s="16"/>
      <c r="S137" s="16"/>
      <c r="T137" s="16"/>
      <c r="U137" s="16"/>
      <c r="V137" s="16"/>
    </row>
    <row r="138" spans="1:22" ht="13.2">
      <c r="A138" s="12"/>
      <c r="B138" s="46"/>
      <c r="C138" s="12"/>
      <c r="D138" s="15"/>
      <c r="E138" s="15"/>
      <c r="F138" s="15"/>
      <c r="G138" s="16"/>
      <c r="H138" s="16"/>
      <c r="I138" s="16"/>
      <c r="J138" s="16"/>
      <c r="K138" s="16"/>
      <c r="L138" s="16"/>
      <c r="M138" s="15"/>
      <c r="N138" s="15"/>
      <c r="O138" s="16"/>
      <c r="P138" s="16"/>
      <c r="Q138" s="16"/>
      <c r="R138" s="16"/>
      <c r="S138" s="16"/>
      <c r="T138" s="16"/>
      <c r="U138" s="16"/>
      <c r="V138" s="16"/>
    </row>
    <row r="139" spans="1:22" ht="13.2">
      <c r="A139" s="12"/>
      <c r="B139" s="46"/>
      <c r="C139" s="12"/>
      <c r="D139" s="15"/>
      <c r="E139" s="15"/>
      <c r="F139" s="15"/>
      <c r="G139" s="16"/>
      <c r="H139" s="16"/>
      <c r="I139" s="16"/>
      <c r="J139" s="16"/>
      <c r="K139" s="16"/>
      <c r="L139" s="16"/>
      <c r="M139" s="15"/>
      <c r="N139" s="15"/>
      <c r="O139" s="16"/>
      <c r="P139" s="16"/>
      <c r="Q139" s="16"/>
      <c r="R139" s="16"/>
      <c r="S139" s="16"/>
      <c r="T139" s="16"/>
      <c r="U139" s="16"/>
      <c r="V139" s="16"/>
    </row>
    <row r="140" spans="1:22" ht="13.2">
      <c r="A140" s="12"/>
      <c r="B140" s="46"/>
      <c r="C140" s="12"/>
      <c r="D140" s="15"/>
      <c r="E140" s="15"/>
      <c r="F140" s="15"/>
      <c r="G140" s="16"/>
      <c r="H140" s="16"/>
      <c r="I140" s="16"/>
      <c r="J140" s="16"/>
      <c r="K140" s="16"/>
      <c r="L140" s="16"/>
      <c r="M140" s="15"/>
      <c r="N140" s="15"/>
      <c r="O140" s="16"/>
      <c r="P140" s="16"/>
      <c r="Q140" s="16"/>
      <c r="R140" s="16"/>
      <c r="S140" s="16"/>
      <c r="T140" s="16"/>
      <c r="U140" s="16"/>
      <c r="V140" s="16"/>
    </row>
    <row r="141" spans="1:22" ht="13.2">
      <c r="A141" s="12"/>
      <c r="B141" s="46"/>
      <c r="C141" s="12"/>
      <c r="D141" s="15"/>
      <c r="E141" s="15"/>
      <c r="F141" s="15"/>
      <c r="G141" s="16"/>
      <c r="H141" s="16"/>
      <c r="I141" s="16"/>
      <c r="J141" s="16"/>
      <c r="K141" s="16"/>
      <c r="L141" s="16"/>
      <c r="M141" s="15"/>
      <c r="N141" s="15"/>
      <c r="O141" s="16"/>
      <c r="P141" s="16"/>
      <c r="Q141" s="16"/>
      <c r="R141" s="16"/>
      <c r="S141" s="16"/>
      <c r="T141" s="16"/>
      <c r="U141" s="16"/>
      <c r="V141" s="16"/>
    </row>
    <row r="142" spans="1:22" ht="13.2">
      <c r="A142" s="12"/>
      <c r="B142" s="46"/>
      <c r="C142" s="12"/>
      <c r="D142" s="15"/>
      <c r="E142" s="15"/>
      <c r="F142" s="15"/>
      <c r="G142" s="16"/>
      <c r="H142" s="16"/>
      <c r="I142" s="16"/>
      <c r="J142" s="16"/>
      <c r="K142" s="16"/>
      <c r="L142" s="16"/>
      <c r="M142" s="15"/>
      <c r="N142" s="15"/>
      <c r="O142" s="16"/>
      <c r="P142" s="16"/>
      <c r="Q142" s="16"/>
      <c r="R142" s="16"/>
      <c r="S142" s="16"/>
      <c r="T142" s="16"/>
      <c r="U142" s="16"/>
      <c r="V142" s="16"/>
    </row>
    <row r="143" spans="1:22" ht="13.2">
      <c r="A143" s="12"/>
      <c r="B143" s="46"/>
      <c r="C143" s="12"/>
      <c r="D143" s="15"/>
      <c r="E143" s="15"/>
      <c r="F143" s="15"/>
      <c r="G143" s="16"/>
      <c r="H143" s="16"/>
      <c r="I143" s="16"/>
      <c r="J143" s="16"/>
      <c r="K143" s="16"/>
      <c r="L143" s="16"/>
      <c r="M143" s="15"/>
      <c r="N143" s="15"/>
      <c r="O143" s="16"/>
      <c r="P143" s="16"/>
      <c r="Q143" s="16"/>
      <c r="R143" s="16"/>
      <c r="S143" s="16"/>
      <c r="T143" s="16"/>
      <c r="U143" s="16"/>
      <c r="V143" s="16"/>
    </row>
    <row r="144" spans="1:22" ht="13.2">
      <c r="A144" s="12"/>
      <c r="B144" s="46"/>
      <c r="C144" s="12"/>
      <c r="D144" s="15"/>
      <c r="E144" s="15"/>
      <c r="F144" s="15"/>
      <c r="G144" s="16"/>
      <c r="H144" s="16"/>
      <c r="I144" s="16"/>
      <c r="J144" s="16"/>
      <c r="K144" s="16"/>
      <c r="L144" s="16"/>
      <c r="M144" s="15"/>
      <c r="N144" s="15"/>
      <c r="O144" s="16"/>
      <c r="P144" s="16"/>
      <c r="Q144" s="16"/>
      <c r="R144" s="16"/>
      <c r="S144" s="16"/>
      <c r="T144" s="16"/>
      <c r="U144" s="16"/>
      <c r="V144" s="16"/>
    </row>
    <row r="145" spans="1:22" ht="13.2">
      <c r="A145" s="12"/>
      <c r="B145" s="46"/>
      <c r="C145" s="12"/>
      <c r="D145" s="15"/>
      <c r="E145" s="15"/>
      <c r="F145" s="15"/>
      <c r="G145" s="16"/>
      <c r="H145" s="16"/>
      <c r="I145" s="16"/>
      <c r="J145" s="16"/>
      <c r="K145" s="16"/>
      <c r="L145" s="16"/>
      <c r="M145" s="15"/>
      <c r="N145" s="15"/>
      <c r="O145" s="16"/>
      <c r="P145" s="16"/>
      <c r="Q145" s="16"/>
      <c r="R145" s="16"/>
      <c r="S145" s="16"/>
      <c r="T145" s="16"/>
      <c r="U145" s="16"/>
      <c r="V145" s="16"/>
    </row>
    <row r="146" spans="1:22" ht="13.2">
      <c r="A146" s="12"/>
      <c r="B146" s="46"/>
      <c r="C146" s="12"/>
      <c r="D146" s="15"/>
      <c r="E146" s="15"/>
      <c r="F146" s="15"/>
      <c r="G146" s="16"/>
      <c r="H146" s="16"/>
      <c r="I146" s="16"/>
      <c r="J146" s="16"/>
      <c r="K146" s="16"/>
      <c r="L146" s="16"/>
      <c r="M146" s="15"/>
      <c r="N146" s="15"/>
      <c r="O146" s="16"/>
      <c r="P146" s="16"/>
      <c r="Q146" s="16"/>
      <c r="R146" s="16"/>
      <c r="S146" s="16"/>
      <c r="T146" s="16"/>
      <c r="U146" s="16"/>
      <c r="V146" s="16"/>
    </row>
    <row r="147" spans="1:22" ht="13.2">
      <c r="A147" s="12"/>
      <c r="B147" s="46"/>
      <c r="C147" s="12"/>
      <c r="D147" s="15"/>
      <c r="E147" s="15"/>
      <c r="F147" s="15"/>
      <c r="G147" s="16"/>
      <c r="H147" s="16"/>
      <c r="I147" s="16"/>
      <c r="J147" s="16"/>
      <c r="K147" s="16"/>
      <c r="L147" s="16"/>
      <c r="M147" s="15"/>
      <c r="N147" s="15"/>
      <c r="O147" s="16"/>
      <c r="P147" s="16"/>
      <c r="Q147" s="16"/>
      <c r="R147" s="16"/>
      <c r="S147" s="16"/>
      <c r="T147" s="16"/>
      <c r="U147" s="16"/>
      <c r="V147" s="16"/>
    </row>
    <row r="148" spans="1:22" ht="13.2">
      <c r="A148" s="12"/>
      <c r="B148" s="46"/>
      <c r="C148" s="12"/>
      <c r="D148" s="15"/>
      <c r="E148" s="15"/>
      <c r="F148" s="15"/>
      <c r="G148" s="16"/>
      <c r="H148" s="16"/>
      <c r="I148" s="16"/>
      <c r="J148" s="16"/>
      <c r="K148" s="16"/>
      <c r="L148" s="16"/>
      <c r="M148" s="15"/>
      <c r="N148" s="15"/>
      <c r="O148" s="16"/>
      <c r="P148" s="16"/>
      <c r="Q148" s="16"/>
      <c r="R148" s="16"/>
      <c r="S148" s="16"/>
      <c r="T148" s="16"/>
      <c r="U148" s="16"/>
      <c r="V148" s="16"/>
    </row>
    <row r="149" spans="1:22" ht="13.2">
      <c r="A149" s="12"/>
      <c r="B149" s="46"/>
      <c r="C149" s="12"/>
      <c r="D149" s="15"/>
      <c r="E149" s="15"/>
      <c r="F149" s="15"/>
      <c r="G149" s="16"/>
      <c r="H149" s="16"/>
      <c r="I149" s="16"/>
      <c r="J149" s="16"/>
      <c r="K149" s="16"/>
      <c r="L149" s="16"/>
      <c r="M149" s="15"/>
      <c r="N149" s="15"/>
      <c r="O149" s="16"/>
      <c r="P149" s="16"/>
      <c r="Q149" s="16"/>
      <c r="R149" s="16"/>
      <c r="S149" s="16"/>
      <c r="T149" s="16"/>
      <c r="U149" s="16"/>
      <c r="V149" s="16"/>
    </row>
    <row r="150" spans="1:22" ht="13.2">
      <c r="A150" s="12"/>
      <c r="B150" s="46"/>
      <c r="C150" s="12"/>
      <c r="D150" s="15"/>
      <c r="E150" s="15"/>
      <c r="F150" s="15"/>
      <c r="G150" s="16"/>
      <c r="H150" s="16"/>
      <c r="I150" s="16"/>
      <c r="J150" s="16"/>
      <c r="K150" s="16"/>
      <c r="L150" s="16"/>
      <c r="M150" s="15"/>
      <c r="N150" s="15"/>
      <c r="O150" s="16"/>
      <c r="P150" s="16"/>
      <c r="Q150" s="16"/>
      <c r="R150" s="16"/>
      <c r="S150" s="16"/>
      <c r="T150" s="16"/>
      <c r="U150" s="16"/>
      <c r="V150" s="16"/>
    </row>
    <row r="151" spans="1:22" ht="13.2">
      <c r="A151" s="12"/>
      <c r="B151" s="46"/>
      <c r="C151" s="12"/>
      <c r="D151" s="15"/>
      <c r="E151" s="15"/>
      <c r="F151" s="15"/>
      <c r="G151" s="16"/>
      <c r="H151" s="16"/>
      <c r="I151" s="16"/>
      <c r="J151" s="16"/>
      <c r="K151" s="16"/>
      <c r="L151" s="16"/>
      <c r="M151" s="15"/>
      <c r="N151" s="15"/>
      <c r="O151" s="16"/>
      <c r="P151" s="16"/>
      <c r="Q151" s="16"/>
      <c r="R151" s="16"/>
      <c r="S151" s="16"/>
      <c r="T151" s="16"/>
      <c r="U151" s="16"/>
      <c r="V151" s="16"/>
    </row>
    <row r="152" spans="1:22" ht="13.2">
      <c r="A152" s="12"/>
      <c r="B152" s="46"/>
      <c r="C152" s="12"/>
      <c r="D152" s="15"/>
      <c r="E152" s="15"/>
      <c r="F152" s="15"/>
      <c r="G152" s="16"/>
      <c r="H152" s="16"/>
      <c r="I152" s="16"/>
      <c r="J152" s="16"/>
      <c r="K152" s="16"/>
      <c r="L152" s="16"/>
      <c r="M152" s="15"/>
      <c r="N152" s="15"/>
      <c r="O152" s="16"/>
      <c r="P152" s="16"/>
      <c r="Q152" s="16"/>
      <c r="R152" s="16"/>
      <c r="S152" s="16"/>
      <c r="T152" s="16"/>
      <c r="U152" s="16"/>
      <c r="V152" s="16"/>
    </row>
    <row r="153" spans="1:22" ht="13.2">
      <c r="A153" s="12"/>
      <c r="B153" s="46"/>
      <c r="C153" s="12"/>
      <c r="D153" s="15"/>
      <c r="E153" s="15"/>
      <c r="F153" s="15"/>
      <c r="G153" s="16"/>
      <c r="H153" s="16"/>
      <c r="I153" s="16"/>
      <c r="J153" s="16"/>
      <c r="K153" s="16"/>
      <c r="L153" s="16"/>
      <c r="M153" s="15"/>
      <c r="N153" s="15"/>
      <c r="O153" s="16"/>
      <c r="P153" s="16"/>
      <c r="Q153" s="16"/>
      <c r="R153" s="16"/>
      <c r="S153" s="16"/>
      <c r="T153" s="16"/>
      <c r="U153" s="16"/>
      <c r="V153" s="16"/>
    </row>
    <row r="154" spans="1:22" ht="13.2">
      <c r="A154" s="12"/>
      <c r="B154" s="46"/>
      <c r="C154" s="12"/>
      <c r="D154" s="15"/>
      <c r="E154" s="15"/>
      <c r="F154" s="15"/>
      <c r="G154" s="16"/>
      <c r="H154" s="16"/>
      <c r="I154" s="16"/>
      <c r="J154" s="16"/>
      <c r="K154" s="16"/>
      <c r="L154" s="16"/>
      <c r="M154" s="15"/>
      <c r="N154" s="15"/>
      <c r="O154" s="16"/>
      <c r="P154" s="16"/>
      <c r="Q154" s="16"/>
      <c r="R154" s="16"/>
      <c r="S154" s="16"/>
      <c r="T154" s="16"/>
      <c r="U154" s="16"/>
      <c r="V154" s="16"/>
    </row>
    <row r="155" spans="1:22" ht="13.2">
      <c r="A155" s="12"/>
      <c r="B155" s="46"/>
      <c r="C155" s="12"/>
      <c r="D155" s="15"/>
      <c r="E155" s="15"/>
      <c r="F155" s="15"/>
      <c r="G155" s="16"/>
      <c r="H155" s="16"/>
      <c r="I155" s="16"/>
      <c r="J155" s="16"/>
      <c r="K155" s="16"/>
      <c r="L155" s="16"/>
      <c r="M155" s="15"/>
      <c r="N155" s="15"/>
      <c r="O155" s="16"/>
      <c r="P155" s="16"/>
      <c r="Q155" s="16"/>
      <c r="R155" s="16"/>
      <c r="S155" s="16"/>
      <c r="T155" s="16"/>
      <c r="U155" s="16"/>
      <c r="V155" s="16"/>
    </row>
    <row r="156" spans="1:22" ht="13.2">
      <c r="A156" s="12"/>
      <c r="B156" s="46"/>
      <c r="C156" s="12"/>
      <c r="D156" s="15"/>
      <c r="E156" s="15"/>
      <c r="F156" s="15"/>
      <c r="G156" s="16"/>
      <c r="H156" s="16"/>
      <c r="I156" s="16"/>
      <c r="J156" s="16"/>
      <c r="K156" s="16"/>
      <c r="L156" s="16"/>
      <c r="M156" s="15"/>
      <c r="N156" s="15"/>
      <c r="O156" s="16"/>
      <c r="P156" s="16"/>
      <c r="Q156" s="16"/>
      <c r="R156" s="16"/>
      <c r="S156" s="16"/>
      <c r="T156" s="16"/>
      <c r="U156" s="16"/>
      <c r="V156" s="16"/>
    </row>
    <row r="157" spans="1:22" ht="13.2">
      <c r="A157" s="12"/>
      <c r="B157" s="46"/>
      <c r="C157" s="12"/>
      <c r="D157" s="15"/>
      <c r="E157" s="15"/>
      <c r="F157" s="15"/>
      <c r="G157" s="16"/>
      <c r="H157" s="16"/>
      <c r="I157" s="16"/>
      <c r="J157" s="16"/>
      <c r="K157" s="16"/>
      <c r="L157" s="16"/>
      <c r="M157" s="15"/>
      <c r="N157" s="15"/>
      <c r="O157" s="16"/>
      <c r="P157" s="16"/>
      <c r="Q157" s="16"/>
      <c r="R157" s="16"/>
      <c r="S157" s="16"/>
      <c r="T157" s="16"/>
      <c r="U157" s="16"/>
      <c r="V157" s="16"/>
    </row>
    <row r="158" spans="1:22" ht="13.2">
      <c r="A158" s="12"/>
      <c r="B158" s="46"/>
      <c r="C158" s="12"/>
      <c r="D158" s="15"/>
      <c r="E158" s="15"/>
      <c r="F158" s="15"/>
      <c r="G158" s="16"/>
      <c r="H158" s="16"/>
      <c r="I158" s="16"/>
      <c r="J158" s="16"/>
      <c r="K158" s="16"/>
      <c r="L158" s="16"/>
      <c r="M158" s="15"/>
      <c r="N158" s="15"/>
      <c r="O158" s="16"/>
      <c r="P158" s="16"/>
      <c r="Q158" s="16"/>
      <c r="R158" s="16"/>
      <c r="S158" s="16"/>
      <c r="T158" s="16"/>
      <c r="U158" s="16"/>
      <c r="V158" s="16"/>
    </row>
    <row r="159" spans="1:22" ht="13.2">
      <c r="A159" s="12"/>
      <c r="B159" s="46"/>
      <c r="C159" s="12"/>
      <c r="D159" s="15"/>
      <c r="E159" s="15"/>
      <c r="F159" s="15"/>
      <c r="G159" s="16"/>
      <c r="H159" s="16"/>
      <c r="I159" s="16"/>
      <c r="J159" s="16"/>
      <c r="K159" s="16"/>
      <c r="L159" s="16"/>
      <c r="M159" s="15"/>
      <c r="N159" s="15"/>
      <c r="O159" s="16"/>
      <c r="P159" s="16"/>
      <c r="Q159" s="16"/>
      <c r="R159" s="16"/>
      <c r="S159" s="16"/>
      <c r="T159" s="16"/>
      <c r="U159" s="16"/>
      <c r="V159" s="16"/>
    </row>
    <row r="160" spans="1:22" ht="13.2">
      <c r="A160" s="12"/>
      <c r="B160" s="46"/>
      <c r="C160" s="12"/>
      <c r="D160" s="15"/>
      <c r="E160" s="15"/>
      <c r="F160" s="15"/>
      <c r="G160" s="16"/>
      <c r="H160" s="16"/>
      <c r="I160" s="16"/>
      <c r="J160" s="16"/>
      <c r="K160" s="16"/>
      <c r="L160" s="16"/>
      <c r="M160" s="15"/>
      <c r="N160" s="15"/>
      <c r="O160" s="16"/>
      <c r="P160" s="16"/>
      <c r="Q160" s="16"/>
      <c r="R160" s="16"/>
      <c r="S160" s="16"/>
      <c r="T160" s="16"/>
      <c r="U160" s="16"/>
      <c r="V160" s="16"/>
    </row>
    <row r="161" spans="1:22" ht="13.2">
      <c r="A161" s="12"/>
      <c r="B161" s="46"/>
      <c r="C161" s="12"/>
      <c r="D161" s="15"/>
      <c r="E161" s="15"/>
      <c r="F161" s="15"/>
      <c r="G161" s="16"/>
      <c r="H161" s="16"/>
      <c r="I161" s="16"/>
      <c r="J161" s="16"/>
      <c r="K161" s="16"/>
      <c r="L161" s="16"/>
      <c r="M161" s="15"/>
      <c r="N161" s="15"/>
      <c r="O161" s="16"/>
      <c r="P161" s="16"/>
      <c r="Q161" s="16"/>
      <c r="R161" s="16"/>
      <c r="S161" s="16"/>
      <c r="T161" s="16"/>
      <c r="U161" s="16"/>
      <c r="V161" s="16"/>
    </row>
    <row r="162" spans="1:22" ht="13.2">
      <c r="A162" s="12"/>
      <c r="B162" s="46"/>
      <c r="C162" s="12"/>
      <c r="D162" s="15"/>
      <c r="E162" s="15"/>
      <c r="F162" s="15"/>
      <c r="G162" s="16"/>
      <c r="H162" s="16"/>
      <c r="I162" s="16"/>
      <c r="J162" s="16"/>
      <c r="K162" s="16"/>
      <c r="L162" s="16"/>
      <c r="M162" s="15"/>
      <c r="N162" s="15"/>
      <c r="O162" s="16"/>
      <c r="P162" s="16"/>
      <c r="Q162" s="16"/>
      <c r="R162" s="16"/>
      <c r="S162" s="16"/>
      <c r="T162" s="16"/>
      <c r="U162" s="16"/>
      <c r="V162" s="16"/>
    </row>
    <row r="163" spans="1:22" ht="13.2">
      <c r="A163" s="12"/>
      <c r="B163" s="46"/>
      <c r="C163" s="12"/>
      <c r="D163" s="15"/>
      <c r="E163" s="15"/>
      <c r="F163" s="15"/>
      <c r="G163" s="16"/>
      <c r="H163" s="16"/>
      <c r="I163" s="16"/>
      <c r="J163" s="16"/>
      <c r="K163" s="16"/>
      <c r="L163" s="16"/>
      <c r="M163" s="15"/>
      <c r="N163" s="15"/>
      <c r="O163" s="16"/>
      <c r="P163" s="16"/>
      <c r="Q163" s="16"/>
      <c r="R163" s="16"/>
      <c r="S163" s="16"/>
      <c r="T163" s="16"/>
      <c r="U163" s="16"/>
      <c r="V163" s="16"/>
    </row>
    <row r="164" spans="1:22" ht="13.2">
      <c r="A164" s="12"/>
      <c r="B164" s="46"/>
      <c r="C164" s="12"/>
      <c r="D164" s="15"/>
      <c r="E164" s="15"/>
      <c r="F164" s="15"/>
      <c r="G164" s="16"/>
      <c r="H164" s="16"/>
      <c r="I164" s="16"/>
      <c r="J164" s="16"/>
      <c r="K164" s="16"/>
      <c r="L164" s="16"/>
      <c r="M164" s="15"/>
      <c r="N164" s="15"/>
      <c r="O164" s="16"/>
      <c r="P164" s="16"/>
      <c r="Q164" s="16"/>
      <c r="R164" s="16"/>
      <c r="S164" s="16"/>
      <c r="T164" s="16"/>
      <c r="U164" s="16"/>
      <c r="V164" s="16"/>
    </row>
    <row r="165" spans="1:22" ht="13.2">
      <c r="A165" s="12"/>
      <c r="B165" s="46"/>
      <c r="C165" s="12"/>
      <c r="D165" s="15"/>
      <c r="E165" s="15"/>
      <c r="F165" s="15"/>
      <c r="G165" s="16"/>
      <c r="H165" s="16"/>
      <c r="I165" s="16"/>
      <c r="J165" s="16"/>
      <c r="K165" s="16"/>
      <c r="L165" s="16"/>
      <c r="M165" s="15"/>
      <c r="N165" s="15"/>
      <c r="O165" s="16"/>
      <c r="P165" s="16"/>
      <c r="Q165" s="16"/>
      <c r="R165" s="16"/>
      <c r="S165" s="16"/>
      <c r="T165" s="16"/>
      <c r="U165" s="16"/>
      <c r="V165" s="16"/>
    </row>
    <row r="166" spans="1:22" ht="13.2">
      <c r="A166" s="12"/>
      <c r="B166" s="46"/>
      <c r="C166" s="12"/>
      <c r="D166" s="15"/>
      <c r="E166" s="15"/>
      <c r="F166" s="15"/>
      <c r="G166" s="16"/>
      <c r="H166" s="16"/>
      <c r="I166" s="16"/>
      <c r="J166" s="16"/>
      <c r="K166" s="16"/>
      <c r="L166" s="16"/>
      <c r="M166" s="15"/>
      <c r="N166" s="15"/>
      <c r="O166" s="16"/>
      <c r="P166" s="16"/>
      <c r="Q166" s="16"/>
      <c r="R166" s="16"/>
      <c r="S166" s="16"/>
      <c r="T166" s="16"/>
      <c r="U166" s="16"/>
      <c r="V166" s="16"/>
    </row>
    <row r="167" spans="1:22" ht="13.2">
      <c r="A167" s="12"/>
      <c r="B167" s="46"/>
      <c r="C167" s="12"/>
      <c r="D167" s="15"/>
      <c r="E167" s="15"/>
      <c r="F167" s="15"/>
      <c r="G167" s="16"/>
      <c r="H167" s="16"/>
      <c r="I167" s="16"/>
      <c r="J167" s="16"/>
      <c r="K167" s="16"/>
      <c r="L167" s="16"/>
      <c r="M167" s="15"/>
      <c r="N167" s="15"/>
      <c r="O167" s="16"/>
      <c r="P167" s="16"/>
      <c r="Q167" s="16"/>
      <c r="R167" s="16"/>
      <c r="S167" s="16"/>
      <c r="T167" s="16"/>
      <c r="U167" s="16"/>
      <c r="V167" s="16"/>
    </row>
    <row r="168" spans="1:22" ht="13.2">
      <c r="A168" s="12"/>
      <c r="B168" s="46"/>
      <c r="C168" s="12"/>
      <c r="D168" s="15"/>
      <c r="E168" s="15"/>
      <c r="F168" s="15"/>
      <c r="G168" s="16"/>
      <c r="H168" s="16"/>
      <c r="I168" s="16"/>
      <c r="J168" s="16"/>
      <c r="K168" s="16"/>
      <c r="L168" s="16"/>
      <c r="M168" s="15"/>
      <c r="N168" s="15"/>
      <c r="O168" s="16"/>
      <c r="P168" s="16"/>
      <c r="Q168" s="16"/>
      <c r="R168" s="16"/>
      <c r="S168" s="16"/>
      <c r="T168" s="16"/>
      <c r="U168" s="16"/>
      <c r="V168" s="16"/>
    </row>
    <row r="169" spans="1:22" ht="13.2">
      <c r="A169" s="12"/>
      <c r="B169" s="46"/>
      <c r="C169" s="12"/>
      <c r="D169" s="15"/>
      <c r="E169" s="15"/>
      <c r="F169" s="15"/>
      <c r="G169" s="16"/>
      <c r="H169" s="16"/>
      <c r="I169" s="16"/>
      <c r="J169" s="16"/>
      <c r="K169" s="16"/>
      <c r="L169" s="16"/>
      <c r="M169" s="15"/>
      <c r="N169" s="15"/>
      <c r="O169" s="16"/>
      <c r="P169" s="16"/>
      <c r="Q169" s="16"/>
      <c r="R169" s="16"/>
      <c r="S169" s="16"/>
      <c r="T169" s="16"/>
      <c r="U169" s="16"/>
      <c r="V169" s="16"/>
    </row>
    <row r="170" spans="1:22" ht="13.2">
      <c r="A170" s="12"/>
      <c r="B170" s="46"/>
      <c r="C170" s="12"/>
      <c r="D170" s="15"/>
      <c r="E170" s="15"/>
      <c r="F170" s="15"/>
      <c r="G170" s="16"/>
      <c r="H170" s="16"/>
      <c r="I170" s="16"/>
      <c r="J170" s="16"/>
      <c r="K170" s="16"/>
      <c r="L170" s="16"/>
      <c r="M170" s="15"/>
      <c r="N170" s="15"/>
      <c r="O170" s="16"/>
      <c r="P170" s="16"/>
      <c r="Q170" s="16"/>
      <c r="R170" s="16"/>
      <c r="S170" s="16"/>
      <c r="T170" s="16"/>
      <c r="U170" s="16"/>
      <c r="V170" s="16"/>
    </row>
    <row r="171" spans="1:22" ht="13.2">
      <c r="A171" s="12"/>
      <c r="B171" s="46"/>
      <c r="C171" s="12"/>
      <c r="D171" s="15"/>
      <c r="E171" s="15"/>
      <c r="F171" s="15"/>
      <c r="G171" s="16"/>
      <c r="H171" s="16"/>
      <c r="I171" s="16"/>
      <c r="J171" s="16"/>
      <c r="K171" s="16"/>
      <c r="L171" s="16"/>
      <c r="M171" s="15"/>
      <c r="N171" s="15"/>
      <c r="O171" s="16"/>
      <c r="P171" s="16"/>
      <c r="Q171" s="16"/>
      <c r="R171" s="16"/>
      <c r="S171" s="16"/>
      <c r="T171" s="16"/>
      <c r="U171" s="16"/>
      <c r="V171" s="16"/>
    </row>
    <row r="172" spans="1:22" ht="13.2">
      <c r="A172" s="12"/>
      <c r="B172" s="46"/>
      <c r="C172" s="12"/>
      <c r="D172" s="15"/>
      <c r="E172" s="15"/>
      <c r="F172" s="15"/>
      <c r="G172" s="16"/>
      <c r="H172" s="16"/>
      <c r="I172" s="16"/>
      <c r="J172" s="16"/>
      <c r="K172" s="16"/>
      <c r="L172" s="16"/>
      <c r="M172" s="15"/>
      <c r="N172" s="15"/>
      <c r="O172" s="16"/>
      <c r="P172" s="16"/>
      <c r="Q172" s="16"/>
      <c r="R172" s="16"/>
      <c r="S172" s="16"/>
      <c r="T172" s="16"/>
      <c r="U172" s="16"/>
      <c r="V172" s="16"/>
    </row>
    <row r="173" spans="1:22" ht="13.2">
      <c r="A173" s="12"/>
      <c r="B173" s="46"/>
      <c r="C173" s="12"/>
      <c r="D173" s="15"/>
      <c r="E173" s="15"/>
      <c r="F173" s="15"/>
      <c r="G173" s="16"/>
      <c r="H173" s="16"/>
      <c r="I173" s="16"/>
      <c r="J173" s="16"/>
      <c r="K173" s="16"/>
      <c r="L173" s="16"/>
      <c r="M173" s="15"/>
      <c r="N173" s="15"/>
      <c r="O173" s="16"/>
      <c r="P173" s="16"/>
      <c r="Q173" s="16"/>
      <c r="R173" s="16"/>
      <c r="S173" s="16"/>
      <c r="T173" s="16"/>
      <c r="U173" s="16"/>
      <c r="V173" s="16"/>
    </row>
    <row r="174" spans="1:22" ht="13.2">
      <c r="A174" s="12"/>
      <c r="B174" s="46"/>
      <c r="C174" s="12"/>
      <c r="D174" s="15"/>
      <c r="E174" s="15"/>
      <c r="F174" s="15"/>
      <c r="G174" s="16"/>
      <c r="H174" s="16"/>
      <c r="I174" s="16"/>
      <c r="J174" s="16"/>
      <c r="K174" s="16"/>
      <c r="L174" s="16"/>
      <c r="M174" s="15"/>
      <c r="N174" s="15"/>
      <c r="O174" s="16"/>
      <c r="P174" s="16"/>
      <c r="Q174" s="16"/>
      <c r="R174" s="16"/>
      <c r="S174" s="16"/>
      <c r="T174" s="16"/>
      <c r="U174" s="16"/>
      <c r="V174" s="16"/>
    </row>
    <row r="175" spans="1:22" ht="13.2">
      <c r="A175" s="12"/>
      <c r="B175" s="46"/>
      <c r="C175" s="12"/>
      <c r="D175" s="15"/>
      <c r="E175" s="15"/>
      <c r="F175" s="15"/>
      <c r="G175" s="16"/>
      <c r="H175" s="16"/>
      <c r="I175" s="16"/>
      <c r="J175" s="16"/>
      <c r="K175" s="16"/>
      <c r="L175" s="16"/>
      <c r="M175" s="15"/>
      <c r="N175" s="15"/>
      <c r="O175" s="16"/>
      <c r="P175" s="16"/>
      <c r="Q175" s="16"/>
      <c r="R175" s="16"/>
      <c r="S175" s="16"/>
      <c r="T175" s="16"/>
      <c r="U175" s="16"/>
      <c r="V175" s="16"/>
    </row>
    <row r="176" spans="1:22" ht="13.2">
      <c r="A176" s="12"/>
      <c r="B176" s="46"/>
      <c r="C176" s="12"/>
      <c r="D176" s="15"/>
      <c r="E176" s="15"/>
      <c r="F176" s="15"/>
      <c r="G176" s="16"/>
      <c r="H176" s="16"/>
      <c r="I176" s="16"/>
      <c r="J176" s="16"/>
      <c r="K176" s="16"/>
      <c r="L176" s="16"/>
      <c r="M176" s="15"/>
      <c r="N176" s="15"/>
      <c r="O176" s="16"/>
      <c r="P176" s="16"/>
      <c r="Q176" s="16"/>
      <c r="R176" s="16"/>
      <c r="S176" s="16"/>
      <c r="T176" s="16"/>
      <c r="U176" s="16"/>
      <c r="V176" s="16"/>
    </row>
    <row r="177" spans="1:22" ht="13.2">
      <c r="A177" s="12"/>
      <c r="B177" s="46"/>
      <c r="C177" s="12"/>
      <c r="D177" s="15"/>
      <c r="E177" s="15"/>
      <c r="F177" s="15"/>
      <c r="G177" s="16"/>
      <c r="H177" s="16"/>
      <c r="I177" s="16"/>
      <c r="J177" s="16"/>
      <c r="K177" s="16"/>
      <c r="L177" s="16"/>
      <c r="M177" s="15"/>
      <c r="N177" s="15"/>
      <c r="O177" s="16"/>
      <c r="P177" s="16"/>
      <c r="Q177" s="16"/>
      <c r="R177" s="16"/>
      <c r="S177" s="16"/>
      <c r="T177" s="16"/>
      <c r="U177" s="16"/>
      <c r="V177" s="16"/>
    </row>
    <row r="178" spans="1:22" ht="13.2">
      <c r="A178" s="12"/>
      <c r="B178" s="46"/>
      <c r="C178" s="12"/>
      <c r="D178" s="15"/>
      <c r="E178" s="15"/>
      <c r="F178" s="15"/>
      <c r="G178" s="16"/>
      <c r="H178" s="16"/>
      <c r="I178" s="16"/>
      <c r="J178" s="16"/>
      <c r="K178" s="16"/>
      <c r="L178" s="16"/>
      <c r="M178" s="15"/>
      <c r="N178" s="15"/>
      <c r="O178" s="16"/>
      <c r="P178" s="16"/>
      <c r="Q178" s="16"/>
      <c r="R178" s="16"/>
      <c r="S178" s="16"/>
      <c r="T178" s="16"/>
      <c r="U178" s="16"/>
      <c r="V178" s="16"/>
    </row>
    <row r="179" spans="1:22" ht="13.2">
      <c r="A179" s="12"/>
      <c r="B179" s="46"/>
      <c r="C179" s="12"/>
      <c r="D179" s="15"/>
      <c r="E179" s="15"/>
      <c r="F179" s="15"/>
      <c r="G179" s="16"/>
      <c r="H179" s="16"/>
      <c r="I179" s="16"/>
      <c r="J179" s="16"/>
      <c r="K179" s="16"/>
      <c r="L179" s="16"/>
      <c r="M179" s="15"/>
      <c r="N179" s="15"/>
      <c r="O179" s="16"/>
      <c r="P179" s="16"/>
      <c r="Q179" s="16"/>
      <c r="R179" s="16"/>
      <c r="S179" s="16"/>
      <c r="T179" s="16"/>
      <c r="U179" s="16"/>
      <c r="V179" s="16"/>
    </row>
    <row r="180" spans="1:22" ht="13.2">
      <c r="A180" s="12"/>
      <c r="B180" s="46"/>
      <c r="C180" s="12"/>
      <c r="D180" s="15"/>
      <c r="E180" s="15"/>
      <c r="F180" s="15"/>
      <c r="G180" s="16"/>
      <c r="H180" s="16"/>
      <c r="I180" s="16"/>
      <c r="J180" s="16"/>
      <c r="K180" s="16"/>
      <c r="L180" s="16"/>
      <c r="M180" s="15"/>
      <c r="N180" s="15"/>
      <c r="O180" s="16"/>
      <c r="P180" s="16"/>
      <c r="Q180" s="16"/>
      <c r="R180" s="16"/>
      <c r="S180" s="16"/>
      <c r="T180" s="16"/>
      <c r="U180" s="16"/>
      <c r="V180" s="16"/>
    </row>
    <row r="181" spans="1:22" ht="13.2">
      <c r="A181" s="12"/>
      <c r="B181" s="46"/>
      <c r="C181" s="12"/>
      <c r="D181" s="15"/>
      <c r="E181" s="15"/>
      <c r="F181" s="15"/>
      <c r="G181" s="16"/>
      <c r="H181" s="16"/>
      <c r="I181" s="16"/>
      <c r="J181" s="16"/>
      <c r="K181" s="16"/>
      <c r="L181" s="16"/>
      <c r="M181" s="15"/>
      <c r="N181" s="15"/>
      <c r="O181" s="16"/>
      <c r="P181" s="16"/>
      <c r="Q181" s="16"/>
      <c r="R181" s="16"/>
      <c r="S181" s="16"/>
      <c r="T181" s="16"/>
      <c r="U181" s="16"/>
      <c r="V181" s="16"/>
    </row>
    <row r="182" spans="1:22" ht="13.2">
      <c r="A182" s="12"/>
      <c r="B182" s="46"/>
      <c r="C182" s="12"/>
      <c r="D182" s="15"/>
      <c r="E182" s="15"/>
      <c r="F182" s="15"/>
      <c r="G182" s="16"/>
      <c r="H182" s="16"/>
      <c r="I182" s="16"/>
      <c r="J182" s="16"/>
      <c r="K182" s="16"/>
      <c r="L182" s="16"/>
      <c r="M182" s="15"/>
      <c r="N182" s="15"/>
      <c r="O182" s="16"/>
      <c r="P182" s="16"/>
      <c r="Q182" s="16"/>
      <c r="R182" s="16"/>
      <c r="S182" s="16"/>
      <c r="T182" s="16"/>
      <c r="U182" s="16"/>
      <c r="V182" s="16"/>
    </row>
    <row r="183" spans="1:22" ht="13.2">
      <c r="A183" s="12"/>
      <c r="B183" s="46"/>
      <c r="C183" s="12"/>
      <c r="D183" s="15"/>
      <c r="E183" s="15"/>
      <c r="F183" s="15"/>
      <c r="G183" s="16"/>
      <c r="H183" s="16"/>
      <c r="I183" s="16"/>
      <c r="J183" s="16"/>
      <c r="K183" s="16"/>
      <c r="L183" s="16"/>
      <c r="M183" s="15"/>
      <c r="N183" s="15"/>
      <c r="O183" s="16"/>
      <c r="P183" s="16"/>
      <c r="Q183" s="16"/>
      <c r="R183" s="16"/>
      <c r="S183" s="16"/>
      <c r="T183" s="16"/>
      <c r="U183" s="16"/>
      <c r="V183" s="16"/>
    </row>
    <row r="184" spans="1:22" ht="13.2">
      <c r="A184" s="12"/>
      <c r="B184" s="46"/>
      <c r="C184" s="12"/>
      <c r="D184" s="15"/>
      <c r="E184" s="15"/>
      <c r="F184" s="15"/>
      <c r="G184" s="16"/>
      <c r="H184" s="16"/>
      <c r="I184" s="16"/>
      <c r="J184" s="16"/>
      <c r="K184" s="16"/>
      <c r="L184" s="16"/>
      <c r="M184" s="15"/>
      <c r="N184" s="15"/>
      <c r="O184" s="16"/>
      <c r="P184" s="16"/>
      <c r="Q184" s="16"/>
      <c r="R184" s="16"/>
      <c r="S184" s="16"/>
      <c r="T184" s="16"/>
      <c r="U184" s="16"/>
      <c r="V184" s="16"/>
    </row>
    <row r="185" spans="1:22" ht="13.2">
      <c r="A185" s="12"/>
      <c r="B185" s="46"/>
      <c r="C185" s="12"/>
      <c r="D185" s="15"/>
      <c r="E185" s="15"/>
      <c r="F185" s="15"/>
      <c r="G185" s="16"/>
      <c r="H185" s="16"/>
      <c r="I185" s="16"/>
      <c r="J185" s="16"/>
      <c r="K185" s="16"/>
      <c r="L185" s="16"/>
      <c r="M185" s="15"/>
      <c r="N185" s="15"/>
      <c r="O185" s="16"/>
      <c r="P185" s="16"/>
      <c r="Q185" s="16"/>
      <c r="R185" s="16"/>
      <c r="S185" s="16"/>
      <c r="T185" s="16"/>
      <c r="U185" s="16"/>
      <c r="V185" s="16"/>
    </row>
    <row r="186" spans="1:22" ht="13.2">
      <c r="A186" s="12"/>
      <c r="B186" s="46"/>
      <c r="C186" s="12"/>
      <c r="D186" s="15"/>
      <c r="E186" s="15"/>
      <c r="F186" s="15"/>
      <c r="G186" s="16"/>
      <c r="H186" s="16"/>
      <c r="I186" s="16"/>
      <c r="J186" s="16"/>
      <c r="K186" s="16"/>
      <c r="L186" s="16"/>
      <c r="M186" s="15"/>
      <c r="N186" s="15"/>
      <c r="O186" s="16"/>
      <c r="P186" s="16"/>
      <c r="Q186" s="16"/>
      <c r="R186" s="16"/>
      <c r="S186" s="16"/>
      <c r="T186" s="16"/>
      <c r="U186" s="16"/>
      <c r="V186" s="16"/>
    </row>
    <row r="187" spans="1:22" ht="13.2">
      <c r="A187" s="12"/>
      <c r="B187" s="46"/>
      <c r="C187" s="12"/>
      <c r="D187" s="15"/>
      <c r="E187" s="15"/>
      <c r="F187" s="15"/>
      <c r="G187" s="16"/>
      <c r="H187" s="16"/>
      <c r="I187" s="16"/>
      <c r="J187" s="16"/>
      <c r="K187" s="16"/>
      <c r="L187" s="16"/>
      <c r="M187" s="15"/>
      <c r="N187" s="15"/>
      <c r="O187" s="16"/>
      <c r="P187" s="16"/>
      <c r="Q187" s="16"/>
      <c r="R187" s="16"/>
      <c r="S187" s="16"/>
      <c r="T187" s="16"/>
      <c r="U187" s="16"/>
      <c r="V187" s="16"/>
    </row>
    <row r="188" spans="1:22" ht="13.2">
      <c r="A188" s="12"/>
      <c r="B188" s="46"/>
      <c r="C188" s="12"/>
      <c r="D188" s="15"/>
      <c r="E188" s="15"/>
      <c r="F188" s="15"/>
      <c r="G188" s="16"/>
      <c r="H188" s="16"/>
      <c r="I188" s="16"/>
      <c r="J188" s="16"/>
      <c r="K188" s="16"/>
      <c r="L188" s="16"/>
      <c r="M188" s="15"/>
      <c r="N188" s="15"/>
      <c r="O188" s="16"/>
      <c r="P188" s="16"/>
      <c r="Q188" s="16"/>
      <c r="R188" s="16"/>
      <c r="S188" s="16"/>
      <c r="T188" s="16"/>
      <c r="U188" s="16"/>
      <c r="V188" s="16"/>
    </row>
    <row r="189" spans="1:22" ht="13.2">
      <c r="A189" s="12"/>
      <c r="B189" s="46"/>
      <c r="C189" s="12"/>
      <c r="D189" s="15"/>
      <c r="E189" s="15"/>
      <c r="F189" s="15"/>
      <c r="G189" s="16"/>
      <c r="H189" s="16"/>
      <c r="I189" s="16"/>
      <c r="J189" s="16"/>
      <c r="K189" s="16"/>
      <c r="L189" s="16"/>
      <c r="M189" s="15"/>
      <c r="N189" s="15"/>
      <c r="O189" s="16"/>
      <c r="P189" s="16"/>
      <c r="Q189" s="16"/>
      <c r="R189" s="16"/>
      <c r="S189" s="16"/>
      <c r="T189" s="16"/>
      <c r="U189" s="16"/>
      <c r="V189" s="16"/>
    </row>
    <row r="190" spans="1:22" ht="13.2">
      <c r="A190" s="12"/>
      <c r="B190" s="46"/>
      <c r="C190" s="12"/>
      <c r="D190" s="15"/>
      <c r="E190" s="15"/>
      <c r="F190" s="15"/>
      <c r="G190" s="16"/>
      <c r="H190" s="16"/>
      <c r="I190" s="16"/>
      <c r="J190" s="16"/>
      <c r="K190" s="16"/>
      <c r="L190" s="16"/>
      <c r="M190" s="15"/>
      <c r="N190" s="15"/>
      <c r="O190" s="16"/>
      <c r="P190" s="16"/>
      <c r="Q190" s="16"/>
      <c r="R190" s="16"/>
      <c r="S190" s="16"/>
      <c r="T190" s="16"/>
      <c r="U190" s="16"/>
      <c r="V190" s="16"/>
    </row>
    <row r="191" spans="1:22" ht="13.2">
      <c r="A191" s="12"/>
      <c r="B191" s="46"/>
      <c r="C191" s="12"/>
      <c r="D191" s="15"/>
      <c r="E191" s="15"/>
      <c r="F191" s="15"/>
      <c r="G191" s="16"/>
      <c r="H191" s="16"/>
      <c r="I191" s="16"/>
      <c r="J191" s="16"/>
      <c r="K191" s="16"/>
      <c r="L191" s="16"/>
      <c r="M191" s="15"/>
      <c r="N191" s="15"/>
      <c r="O191" s="16"/>
      <c r="P191" s="16"/>
      <c r="Q191" s="16"/>
      <c r="R191" s="16"/>
      <c r="S191" s="16"/>
      <c r="T191" s="16"/>
      <c r="U191" s="16"/>
      <c r="V191" s="16"/>
    </row>
    <row r="192" spans="1:22" ht="13.2">
      <c r="A192" s="12"/>
      <c r="B192" s="46"/>
      <c r="C192" s="12"/>
      <c r="D192" s="15"/>
      <c r="E192" s="15"/>
      <c r="F192" s="15"/>
      <c r="G192" s="16"/>
      <c r="H192" s="16"/>
      <c r="I192" s="16"/>
      <c r="J192" s="16"/>
      <c r="K192" s="16"/>
      <c r="L192" s="16"/>
      <c r="M192" s="15"/>
      <c r="N192" s="15"/>
      <c r="O192" s="16"/>
      <c r="P192" s="16"/>
      <c r="Q192" s="16"/>
      <c r="R192" s="16"/>
      <c r="S192" s="16"/>
      <c r="T192" s="16"/>
      <c r="U192" s="16"/>
      <c r="V192" s="16"/>
    </row>
    <row r="193" spans="1:22" ht="13.2">
      <c r="A193" s="12"/>
      <c r="B193" s="46"/>
      <c r="C193" s="12"/>
      <c r="D193" s="15"/>
      <c r="E193" s="15"/>
      <c r="F193" s="15"/>
      <c r="G193" s="16"/>
      <c r="H193" s="16"/>
      <c r="I193" s="16"/>
      <c r="J193" s="16"/>
      <c r="K193" s="16"/>
      <c r="L193" s="16"/>
      <c r="M193" s="15"/>
      <c r="N193" s="16"/>
      <c r="O193" s="16"/>
      <c r="P193" s="16"/>
      <c r="Q193" s="16"/>
      <c r="R193" s="16"/>
      <c r="S193" s="16"/>
      <c r="T193" s="16"/>
      <c r="U193" s="16"/>
      <c r="V193" s="16"/>
    </row>
    <row r="194" spans="1:22" ht="13.2">
      <c r="A194" s="12"/>
      <c r="B194" s="46"/>
      <c r="C194" s="12"/>
      <c r="D194" s="15"/>
      <c r="E194" s="15"/>
      <c r="F194" s="15"/>
      <c r="G194" s="16"/>
      <c r="H194" s="16"/>
      <c r="I194" s="16"/>
      <c r="J194" s="16"/>
      <c r="K194" s="16"/>
      <c r="L194" s="16"/>
      <c r="M194" s="15"/>
      <c r="N194" s="16"/>
      <c r="O194" s="16"/>
      <c r="P194" s="16"/>
      <c r="Q194" s="16"/>
      <c r="R194" s="16"/>
      <c r="S194" s="16"/>
      <c r="T194" s="16"/>
      <c r="U194" s="16"/>
      <c r="V194" s="16"/>
    </row>
    <row r="195" spans="1:22" ht="13.2">
      <c r="A195" s="12"/>
      <c r="B195" s="46"/>
      <c r="C195" s="12"/>
      <c r="D195" s="15"/>
      <c r="E195" s="15"/>
      <c r="F195" s="15"/>
      <c r="G195" s="16"/>
      <c r="H195" s="16"/>
      <c r="I195" s="16"/>
      <c r="J195" s="16"/>
      <c r="K195" s="16"/>
      <c r="L195" s="16"/>
      <c r="M195" s="15"/>
      <c r="N195" s="16"/>
      <c r="O195" s="16"/>
      <c r="P195" s="16"/>
      <c r="Q195" s="16"/>
      <c r="R195" s="16"/>
      <c r="S195" s="16"/>
      <c r="T195" s="16"/>
      <c r="U195" s="16"/>
      <c r="V195" s="16"/>
    </row>
    <row r="196" spans="1:22" ht="13.2">
      <c r="A196" s="12"/>
      <c r="B196" s="46"/>
      <c r="C196" s="12"/>
      <c r="D196" s="15"/>
      <c r="E196" s="15"/>
      <c r="F196" s="15"/>
      <c r="G196" s="16"/>
      <c r="H196" s="16"/>
      <c r="I196" s="16"/>
      <c r="J196" s="16"/>
      <c r="K196" s="16"/>
      <c r="L196" s="16"/>
      <c r="M196" s="15"/>
      <c r="N196" s="16"/>
      <c r="O196" s="16"/>
      <c r="P196" s="16"/>
      <c r="Q196" s="16"/>
      <c r="R196" s="16"/>
      <c r="S196" s="16"/>
      <c r="T196" s="16"/>
      <c r="U196" s="16"/>
      <c r="V196" s="16"/>
    </row>
    <row r="197" spans="1:22" ht="13.2">
      <c r="A197" s="12"/>
      <c r="B197" s="46"/>
      <c r="C197" s="12"/>
      <c r="D197" s="15"/>
      <c r="E197" s="15"/>
      <c r="F197" s="15"/>
      <c r="G197" s="16"/>
      <c r="H197" s="16"/>
      <c r="I197" s="16"/>
      <c r="J197" s="16"/>
      <c r="K197" s="16"/>
      <c r="L197" s="16"/>
      <c r="M197" s="15"/>
      <c r="N197" s="16"/>
      <c r="O197" s="16"/>
      <c r="P197" s="16"/>
      <c r="Q197" s="16"/>
      <c r="R197" s="16"/>
      <c r="S197" s="16"/>
      <c r="T197" s="16"/>
      <c r="U197" s="16"/>
      <c r="V197" s="16"/>
    </row>
    <row r="198" spans="1:22" ht="13.2">
      <c r="A198" s="12"/>
      <c r="B198" s="46"/>
      <c r="C198" s="12"/>
      <c r="D198" s="15"/>
      <c r="E198" s="15"/>
      <c r="F198" s="15"/>
      <c r="G198" s="16"/>
      <c r="H198" s="16"/>
      <c r="I198" s="16"/>
      <c r="J198" s="16"/>
      <c r="K198" s="16"/>
      <c r="L198" s="16"/>
      <c r="M198" s="15"/>
      <c r="N198" s="16"/>
      <c r="O198" s="16"/>
      <c r="P198" s="16"/>
      <c r="Q198" s="16"/>
      <c r="R198" s="16"/>
      <c r="S198" s="16"/>
      <c r="T198" s="16"/>
      <c r="U198" s="16"/>
      <c r="V198" s="16"/>
    </row>
    <row r="199" spans="1:22" ht="13.2">
      <c r="A199" s="12"/>
      <c r="B199" s="46"/>
      <c r="C199" s="12"/>
      <c r="D199" s="15"/>
      <c r="E199" s="15"/>
      <c r="F199" s="15"/>
      <c r="G199" s="16"/>
      <c r="H199" s="16"/>
      <c r="I199" s="16"/>
      <c r="J199" s="16"/>
      <c r="K199" s="16"/>
      <c r="L199" s="16"/>
      <c r="M199" s="15"/>
      <c r="N199" s="16"/>
      <c r="O199" s="16"/>
      <c r="P199" s="16"/>
      <c r="Q199" s="16"/>
      <c r="R199" s="16"/>
      <c r="S199" s="16"/>
      <c r="T199" s="16"/>
      <c r="U199" s="16"/>
      <c r="V199" s="16"/>
    </row>
    <row r="200" spans="1:22" ht="13.2">
      <c r="A200" s="12"/>
      <c r="B200" s="46"/>
      <c r="C200" s="12"/>
      <c r="D200" s="15"/>
      <c r="E200" s="15"/>
      <c r="F200" s="15"/>
      <c r="G200" s="16"/>
      <c r="H200" s="16"/>
      <c r="I200" s="16"/>
      <c r="J200" s="16"/>
      <c r="K200" s="16"/>
      <c r="L200" s="16"/>
      <c r="M200" s="15"/>
      <c r="N200" s="16"/>
      <c r="O200" s="16"/>
      <c r="P200" s="16"/>
      <c r="Q200" s="16"/>
      <c r="R200" s="16"/>
      <c r="S200" s="16"/>
      <c r="T200" s="16"/>
      <c r="U200" s="16"/>
      <c r="V200" s="16"/>
    </row>
    <row r="201" spans="1:22" ht="13.2">
      <c r="A201" s="12"/>
      <c r="B201" s="46"/>
      <c r="C201" s="12"/>
      <c r="D201" s="15"/>
      <c r="E201" s="15"/>
      <c r="F201" s="15"/>
      <c r="G201" s="16"/>
      <c r="H201" s="16"/>
      <c r="I201" s="16"/>
      <c r="J201" s="16"/>
      <c r="K201" s="16"/>
      <c r="L201" s="16"/>
      <c r="M201" s="15"/>
      <c r="N201" s="16"/>
      <c r="O201" s="16"/>
      <c r="P201" s="16"/>
      <c r="Q201" s="16"/>
      <c r="R201" s="16"/>
      <c r="S201" s="16"/>
      <c r="T201" s="16"/>
      <c r="U201" s="16"/>
      <c r="V201" s="16"/>
    </row>
    <row r="202" spans="1:22" ht="13.2">
      <c r="A202" s="12"/>
      <c r="B202" s="46"/>
      <c r="C202" s="12"/>
      <c r="D202" s="15"/>
      <c r="E202" s="15"/>
      <c r="F202" s="15"/>
      <c r="G202" s="16"/>
      <c r="H202" s="16"/>
      <c r="I202" s="16"/>
      <c r="J202" s="16"/>
      <c r="K202" s="16"/>
      <c r="L202" s="16"/>
      <c r="M202" s="15"/>
      <c r="N202" s="16"/>
      <c r="O202" s="16"/>
      <c r="P202" s="16"/>
      <c r="Q202" s="16"/>
      <c r="R202" s="16"/>
      <c r="S202" s="16"/>
      <c r="T202" s="16"/>
      <c r="U202" s="16"/>
      <c r="V202" s="16"/>
    </row>
    <row r="203" spans="1:22" ht="13.2">
      <c r="A203" s="12"/>
      <c r="B203" s="46"/>
      <c r="C203" s="12"/>
      <c r="D203" s="15"/>
      <c r="E203" s="15"/>
      <c r="F203" s="15"/>
      <c r="G203" s="16"/>
      <c r="H203" s="16"/>
      <c r="I203" s="16"/>
      <c r="J203" s="16"/>
      <c r="K203" s="16"/>
      <c r="L203" s="16"/>
      <c r="M203" s="15"/>
      <c r="N203" s="16"/>
      <c r="O203" s="16"/>
      <c r="P203" s="16"/>
      <c r="Q203" s="16"/>
      <c r="R203" s="16"/>
      <c r="S203" s="16"/>
      <c r="T203" s="16"/>
      <c r="U203" s="16"/>
      <c r="V203" s="16"/>
    </row>
    <row r="204" spans="1:22" ht="13.2">
      <c r="A204" s="12"/>
      <c r="B204" s="46"/>
      <c r="C204" s="12"/>
      <c r="D204" s="15"/>
      <c r="E204" s="15"/>
      <c r="F204" s="15"/>
      <c r="G204" s="16"/>
      <c r="H204" s="16"/>
      <c r="I204" s="16"/>
      <c r="J204" s="16"/>
      <c r="K204" s="16"/>
      <c r="L204" s="16"/>
      <c r="M204" s="15"/>
      <c r="N204" s="16"/>
      <c r="O204" s="16"/>
      <c r="P204" s="16"/>
      <c r="Q204" s="16"/>
      <c r="R204" s="16"/>
      <c r="S204" s="16"/>
      <c r="T204" s="16"/>
      <c r="U204" s="16"/>
      <c r="V204" s="16"/>
    </row>
    <row r="205" spans="1:22" ht="13.2">
      <c r="A205" s="12"/>
      <c r="B205" s="46"/>
      <c r="C205" s="12"/>
      <c r="D205" s="15"/>
      <c r="E205" s="15"/>
      <c r="F205" s="15"/>
      <c r="G205" s="16"/>
      <c r="H205" s="16"/>
      <c r="I205" s="16"/>
      <c r="J205" s="16"/>
      <c r="K205" s="16"/>
      <c r="L205" s="16"/>
      <c r="M205" s="15"/>
      <c r="N205" s="16"/>
      <c r="O205" s="16"/>
      <c r="P205" s="16"/>
      <c r="Q205" s="16"/>
      <c r="R205" s="16"/>
      <c r="S205" s="16"/>
      <c r="T205" s="16"/>
      <c r="U205" s="16"/>
      <c r="V205" s="16"/>
    </row>
    <row r="206" spans="1:22" ht="13.2">
      <c r="A206" s="12"/>
      <c r="B206" s="46"/>
      <c r="C206" s="12"/>
      <c r="D206" s="15"/>
      <c r="E206" s="15"/>
      <c r="F206" s="15"/>
      <c r="G206" s="16"/>
      <c r="H206" s="16"/>
      <c r="I206" s="16"/>
      <c r="J206" s="16"/>
      <c r="K206" s="16"/>
      <c r="L206" s="16"/>
      <c r="M206" s="15"/>
      <c r="N206" s="16"/>
      <c r="O206" s="16"/>
      <c r="P206" s="16"/>
      <c r="Q206" s="16"/>
      <c r="R206" s="16"/>
      <c r="S206" s="16"/>
      <c r="T206" s="16"/>
      <c r="U206" s="16"/>
      <c r="V206" s="16"/>
    </row>
    <row r="207" spans="1:22" ht="13.2">
      <c r="A207" s="12"/>
      <c r="B207" s="46"/>
      <c r="C207" s="12"/>
      <c r="D207" s="15"/>
      <c r="E207" s="15"/>
      <c r="F207" s="15"/>
      <c r="G207" s="16"/>
      <c r="H207" s="16"/>
      <c r="I207" s="16"/>
      <c r="J207" s="16"/>
      <c r="K207" s="16"/>
      <c r="L207" s="16"/>
      <c r="M207" s="15"/>
      <c r="N207" s="16"/>
      <c r="O207" s="16"/>
      <c r="P207" s="16"/>
      <c r="Q207" s="16"/>
      <c r="R207" s="16"/>
      <c r="S207" s="16"/>
      <c r="T207" s="16"/>
      <c r="U207" s="16"/>
      <c r="V207" s="16"/>
    </row>
    <row r="208" spans="1:22" ht="13.2">
      <c r="A208" s="12"/>
      <c r="B208" s="46"/>
      <c r="C208" s="12"/>
      <c r="D208" s="15"/>
      <c r="E208" s="15"/>
      <c r="F208" s="15"/>
      <c r="G208" s="16"/>
      <c r="H208" s="16"/>
      <c r="I208" s="16"/>
      <c r="J208" s="16"/>
      <c r="K208" s="16"/>
      <c r="L208" s="16"/>
      <c r="M208" s="15"/>
      <c r="N208" s="16"/>
      <c r="O208" s="16"/>
      <c r="P208" s="16"/>
      <c r="Q208" s="16"/>
      <c r="R208" s="16"/>
      <c r="S208" s="16"/>
      <c r="T208" s="16"/>
      <c r="U208" s="16"/>
      <c r="V208" s="16"/>
    </row>
    <row r="209" spans="1:22" ht="13.2">
      <c r="A209" s="12"/>
      <c r="B209" s="46"/>
      <c r="C209" s="12"/>
      <c r="D209" s="15"/>
      <c r="E209" s="15"/>
      <c r="F209" s="15"/>
      <c r="G209" s="16"/>
      <c r="H209" s="16"/>
      <c r="I209" s="16"/>
      <c r="J209" s="16"/>
      <c r="K209" s="16"/>
      <c r="L209" s="16"/>
      <c r="M209" s="15"/>
      <c r="N209" s="16"/>
      <c r="O209" s="16"/>
      <c r="P209" s="16"/>
      <c r="Q209" s="16"/>
      <c r="R209" s="16"/>
      <c r="S209" s="16"/>
      <c r="T209" s="16"/>
      <c r="U209" s="16"/>
      <c r="V209" s="16"/>
    </row>
    <row r="210" spans="1:22" ht="13.2">
      <c r="A210" s="12"/>
      <c r="B210" s="46"/>
      <c r="C210" s="12"/>
      <c r="D210" s="15"/>
      <c r="E210" s="15"/>
      <c r="F210" s="15"/>
      <c r="G210" s="16"/>
      <c r="H210" s="16"/>
      <c r="I210" s="16"/>
      <c r="J210" s="16"/>
      <c r="K210" s="16"/>
      <c r="L210" s="16"/>
      <c r="M210" s="15"/>
      <c r="N210" s="16"/>
      <c r="O210" s="16"/>
      <c r="P210" s="16"/>
      <c r="Q210" s="16"/>
      <c r="R210" s="16"/>
      <c r="S210" s="16"/>
      <c r="T210" s="16"/>
      <c r="U210" s="16"/>
      <c r="V210" s="16"/>
    </row>
    <row r="211" spans="1:22" ht="13.2">
      <c r="A211" s="12"/>
      <c r="B211" s="46"/>
      <c r="C211" s="12"/>
      <c r="D211" s="15"/>
      <c r="E211" s="15"/>
      <c r="F211" s="15"/>
      <c r="G211" s="16"/>
      <c r="H211" s="16"/>
      <c r="I211" s="16"/>
      <c r="J211" s="16"/>
      <c r="K211" s="16"/>
      <c r="L211" s="16"/>
      <c r="M211" s="15"/>
      <c r="N211" s="16"/>
      <c r="O211" s="16"/>
      <c r="P211" s="16"/>
      <c r="Q211" s="16"/>
      <c r="R211" s="16"/>
      <c r="S211" s="16"/>
      <c r="T211" s="16"/>
      <c r="U211" s="16"/>
      <c r="V211" s="16"/>
    </row>
    <row r="212" spans="1:22" ht="13.2">
      <c r="A212" s="12"/>
      <c r="B212" s="46"/>
      <c r="C212" s="12"/>
      <c r="D212" s="15"/>
      <c r="E212" s="15"/>
      <c r="F212" s="15"/>
      <c r="G212" s="16"/>
      <c r="H212" s="16"/>
      <c r="I212" s="16"/>
      <c r="J212" s="16"/>
      <c r="K212" s="16"/>
      <c r="L212" s="16"/>
      <c r="M212" s="15"/>
      <c r="N212" s="16"/>
      <c r="O212" s="16"/>
      <c r="P212" s="16"/>
      <c r="Q212" s="16"/>
      <c r="R212" s="16"/>
      <c r="S212" s="16"/>
      <c r="T212" s="16"/>
      <c r="U212" s="16"/>
      <c r="V212" s="16"/>
    </row>
    <row r="213" spans="1:22" ht="13.2">
      <c r="A213" s="12"/>
      <c r="B213" s="46"/>
      <c r="C213" s="12"/>
      <c r="D213" s="15"/>
      <c r="E213" s="15"/>
      <c r="F213" s="15"/>
      <c r="G213" s="16"/>
      <c r="H213" s="16"/>
      <c r="I213" s="16"/>
      <c r="J213" s="16"/>
      <c r="K213" s="16"/>
      <c r="L213" s="16"/>
      <c r="M213" s="15"/>
      <c r="N213" s="16"/>
      <c r="O213" s="16"/>
      <c r="P213" s="16"/>
      <c r="Q213" s="16"/>
      <c r="R213" s="16"/>
      <c r="S213" s="16"/>
      <c r="T213" s="16"/>
      <c r="U213" s="16"/>
      <c r="V213" s="16"/>
    </row>
    <row r="214" spans="1:22" ht="13.2">
      <c r="A214" s="12"/>
      <c r="B214" s="46"/>
      <c r="C214" s="12"/>
      <c r="D214" s="15"/>
      <c r="E214" s="15"/>
      <c r="F214" s="15"/>
      <c r="G214" s="16"/>
      <c r="H214" s="16"/>
      <c r="I214" s="16"/>
      <c r="J214" s="16"/>
      <c r="K214" s="16"/>
      <c r="L214" s="16"/>
      <c r="M214" s="15"/>
      <c r="N214" s="16"/>
      <c r="O214" s="16"/>
      <c r="P214" s="16"/>
      <c r="Q214" s="16"/>
      <c r="R214" s="16"/>
      <c r="S214" s="16"/>
      <c r="T214" s="16"/>
      <c r="U214" s="16"/>
      <c r="V214" s="16"/>
    </row>
    <row r="215" spans="1:22" ht="13.2">
      <c r="A215" s="12"/>
      <c r="B215" s="46"/>
      <c r="C215" s="12"/>
      <c r="D215" s="15"/>
      <c r="E215" s="15"/>
      <c r="F215" s="15"/>
      <c r="G215" s="16"/>
      <c r="H215" s="16"/>
      <c r="I215" s="16"/>
      <c r="J215" s="16"/>
      <c r="K215" s="16"/>
      <c r="L215" s="16"/>
      <c r="M215" s="15"/>
      <c r="N215" s="16"/>
      <c r="O215" s="16"/>
      <c r="P215" s="16"/>
      <c r="Q215" s="16"/>
      <c r="R215" s="16"/>
      <c r="S215" s="16"/>
      <c r="T215" s="16"/>
      <c r="U215" s="16"/>
      <c r="V215" s="16"/>
    </row>
    <row r="216" spans="1:22" ht="13.2">
      <c r="A216" s="12"/>
      <c r="B216" s="46"/>
      <c r="C216" s="12"/>
      <c r="D216" s="15"/>
      <c r="E216" s="15"/>
      <c r="F216" s="15"/>
      <c r="G216" s="16"/>
      <c r="H216" s="16"/>
      <c r="I216" s="16"/>
      <c r="J216" s="16"/>
      <c r="K216" s="16"/>
      <c r="L216" s="16"/>
      <c r="M216" s="15"/>
      <c r="N216" s="16"/>
      <c r="O216" s="16"/>
      <c r="P216" s="16"/>
      <c r="Q216" s="16"/>
      <c r="R216" s="16"/>
      <c r="S216" s="16"/>
      <c r="T216" s="16"/>
      <c r="U216" s="16"/>
      <c r="V216" s="16"/>
    </row>
    <row r="217" spans="1:22" ht="13.2">
      <c r="A217" s="12"/>
      <c r="B217" s="46"/>
      <c r="C217" s="12"/>
      <c r="D217" s="15"/>
      <c r="E217" s="15"/>
      <c r="F217" s="15"/>
      <c r="G217" s="16"/>
      <c r="H217" s="16"/>
      <c r="I217" s="16"/>
      <c r="J217" s="16"/>
      <c r="K217" s="16"/>
      <c r="L217" s="16"/>
      <c r="M217" s="15"/>
      <c r="N217" s="16"/>
      <c r="O217" s="16"/>
      <c r="P217" s="16"/>
      <c r="Q217" s="16"/>
      <c r="R217" s="16"/>
      <c r="S217" s="16"/>
      <c r="T217" s="16"/>
      <c r="U217" s="16"/>
      <c r="V217" s="16"/>
    </row>
    <row r="218" spans="1:22" ht="13.2">
      <c r="A218" s="12"/>
      <c r="B218" s="46"/>
      <c r="C218" s="12"/>
      <c r="D218" s="15"/>
      <c r="E218" s="15"/>
      <c r="F218" s="15"/>
      <c r="G218" s="16"/>
      <c r="H218" s="16"/>
      <c r="I218" s="16"/>
      <c r="J218" s="16"/>
      <c r="K218" s="16"/>
      <c r="L218" s="16"/>
      <c r="M218" s="15"/>
      <c r="N218" s="16"/>
      <c r="O218" s="16"/>
      <c r="P218" s="16"/>
      <c r="Q218" s="16"/>
      <c r="R218" s="16"/>
      <c r="S218" s="16"/>
      <c r="T218" s="16"/>
      <c r="U218" s="16"/>
      <c r="V218" s="16"/>
    </row>
    <row r="219" spans="1:22" ht="13.2">
      <c r="A219" s="12"/>
      <c r="B219" s="46"/>
      <c r="C219" s="12"/>
      <c r="D219" s="15"/>
      <c r="E219" s="15"/>
      <c r="F219" s="15"/>
      <c r="G219" s="16"/>
      <c r="H219" s="16"/>
      <c r="I219" s="16"/>
      <c r="J219" s="16"/>
      <c r="K219" s="16"/>
      <c r="L219" s="16"/>
      <c r="M219" s="15"/>
      <c r="N219" s="16"/>
      <c r="O219" s="16"/>
      <c r="P219" s="16"/>
      <c r="Q219" s="16"/>
      <c r="R219" s="16"/>
      <c r="S219" s="16"/>
      <c r="T219" s="16"/>
      <c r="U219" s="16"/>
      <c r="V219" s="16"/>
    </row>
    <row r="220" spans="1:22" ht="13.2">
      <c r="A220" s="12"/>
      <c r="B220" s="46"/>
      <c r="C220" s="12"/>
      <c r="D220" s="15"/>
      <c r="E220" s="15"/>
      <c r="F220" s="15"/>
      <c r="G220" s="16"/>
      <c r="H220" s="16"/>
      <c r="I220" s="16"/>
      <c r="J220" s="16"/>
      <c r="K220" s="16"/>
      <c r="L220" s="16"/>
      <c r="M220" s="15"/>
      <c r="N220" s="16"/>
      <c r="O220" s="16"/>
      <c r="P220" s="16"/>
      <c r="Q220" s="16"/>
      <c r="R220" s="16"/>
      <c r="S220" s="16"/>
      <c r="T220" s="16"/>
      <c r="U220" s="16"/>
      <c r="V220" s="16"/>
    </row>
    <row r="221" spans="1:22" ht="13.2">
      <c r="A221" s="12"/>
      <c r="B221" s="46"/>
      <c r="C221" s="12"/>
      <c r="D221" s="15"/>
      <c r="E221" s="15"/>
      <c r="F221" s="15"/>
      <c r="G221" s="16"/>
      <c r="H221" s="16"/>
      <c r="I221" s="16"/>
      <c r="J221" s="16"/>
      <c r="K221" s="16"/>
      <c r="L221" s="16"/>
      <c r="M221" s="15"/>
      <c r="N221" s="16"/>
      <c r="O221" s="16"/>
      <c r="P221" s="16"/>
      <c r="Q221" s="16"/>
      <c r="R221" s="16"/>
      <c r="S221" s="16"/>
      <c r="T221" s="16"/>
      <c r="U221" s="16"/>
      <c r="V221" s="16"/>
    </row>
    <row r="222" spans="1:22" ht="13.2">
      <c r="A222" s="12"/>
      <c r="B222" s="46"/>
      <c r="C222" s="12"/>
      <c r="D222" s="15"/>
      <c r="E222" s="15"/>
      <c r="F222" s="15"/>
      <c r="G222" s="16"/>
      <c r="H222" s="16"/>
      <c r="I222" s="16"/>
      <c r="J222" s="16"/>
      <c r="K222" s="16"/>
      <c r="L222" s="16"/>
      <c r="M222" s="15"/>
      <c r="N222" s="16"/>
      <c r="O222" s="16"/>
      <c r="P222" s="16"/>
      <c r="Q222" s="16"/>
      <c r="R222" s="16"/>
      <c r="S222" s="16"/>
      <c r="T222" s="16"/>
      <c r="U222" s="16"/>
      <c r="V222" s="16"/>
    </row>
    <row r="223" spans="1:22" ht="13.2">
      <c r="A223" s="12"/>
      <c r="B223" s="46"/>
      <c r="C223" s="12"/>
      <c r="D223" s="15"/>
      <c r="E223" s="15"/>
      <c r="F223" s="15"/>
      <c r="G223" s="16"/>
      <c r="H223" s="16"/>
      <c r="I223" s="16"/>
      <c r="J223" s="16"/>
      <c r="K223" s="16"/>
      <c r="L223" s="16"/>
      <c r="M223" s="15"/>
      <c r="N223" s="16"/>
      <c r="O223" s="16"/>
      <c r="P223" s="16"/>
      <c r="Q223" s="16"/>
      <c r="R223" s="16"/>
      <c r="S223" s="16"/>
      <c r="T223" s="16"/>
      <c r="U223" s="16"/>
      <c r="V223" s="16"/>
    </row>
    <row r="224" spans="1:22" ht="13.2">
      <c r="A224" s="12"/>
      <c r="B224" s="46"/>
      <c r="C224" s="12"/>
      <c r="D224" s="15"/>
      <c r="E224" s="15"/>
      <c r="F224" s="15"/>
      <c r="G224" s="16"/>
      <c r="H224" s="16"/>
      <c r="I224" s="16"/>
      <c r="J224" s="16"/>
      <c r="K224" s="16"/>
      <c r="L224" s="16"/>
      <c r="M224" s="15"/>
      <c r="N224" s="16"/>
      <c r="O224" s="16"/>
      <c r="P224" s="16"/>
      <c r="Q224" s="16"/>
      <c r="R224" s="16"/>
      <c r="S224" s="16"/>
      <c r="T224" s="16"/>
      <c r="U224" s="16"/>
      <c r="V224" s="16"/>
    </row>
    <row r="225" spans="1:22" ht="13.2">
      <c r="A225" s="12"/>
      <c r="B225" s="46"/>
      <c r="C225" s="12"/>
      <c r="D225" s="15"/>
      <c r="E225" s="15"/>
      <c r="F225" s="15"/>
      <c r="G225" s="16"/>
      <c r="H225" s="16"/>
      <c r="I225" s="16"/>
      <c r="J225" s="16"/>
      <c r="K225" s="16"/>
      <c r="L225" s="16"/>
      <c r="M225" s="15"/>
      <c r="N225" s="16"/>
      <c r="O225" s="16"/>
      <c r="P225" s="16"/>
      <c r="Q225" s="16"/>
      <c r="R225" s="16"/>
      <c r="S225" s="16"/>
      <c r="T225" s="16"/>
      <c r="U225" s="16"/>
      <c r="V225" s="16"/>
    </row>
    <row r="226" spans="1:22" ht="13.2">
      <c r="A226" s="12"/>
      <c r="B226" s="46"/>
      <c r="C226" s="12"/>
      <c r="D226" s="15"/>
      <c r="E226" s="15"/>
      <c r="F226" s="15"/>
      <c r="G226" s="16"/>
      <c r="H226" s="16"/>
      <c r="I226" s="16"/>
      <c r="J226" s="16"/>
      <c r="K226" s="16"/>
      <c r="L226" s="16"/>
      <c r="M226" s="15"/>
      <c r="N226" s="16"/>
      <c r="O226" s="16"/>
      <c r="P226" s="16"/>
      <c r="Q226" s="16"/>
      <c r="R226" s="16"/>
      <c r="S226" s="16"/>
      <c r="T226" s="16"/>
      <c r="U226" s="16"/>
      <c r="V226" s="16"/>
    </row>
    <row r="227" spans="1:22" ht="13.2">
      <c r="A227" s="12"/>
      <c r="B227" s="46"/>
      <c r="C227" s="12"/>
      <c r="D227" s="15"/>
      <c r="E227" s="15"/>
      <c r="F227" s="15"/>
      <c r="G227" s="16"/>
      <c r="H227" s="16"/>
      <c r="I227" s="16"/>
      <c r="J227" s="16"/>
      <c r="K227" s="16"/>
      <c r="L227" s="16"/>
      <c r="M227" s="15"/>
      <c r="N227" s="16"/>
      <c r="O227" s="16"/>
      <c r="P227" s="16"/>
      <c r="Q227" s="16"/>
      <c r="R227" s="16"/>
      <c r="S227" s="16"/>
      <c r="T227" s="16"/>
      <c r="U227" s="16"/>
      <c r="V227" s="16"/>
    </row>
    <row r="228" spans="1:22" ht="13.2">
      <c r="A228" s="12"/>
      <c r="B228" s="46"/>
      <c r="C228" s="12"/>
      <c r="D228" s="15"/>
      <c r="E228" s="15"/>
      <c r="F228" s="15"/>
      <c r="G228" s="16"/>
      <c r="H228" s="16"/>
      <c r="I228" s="16"/>
      <c r="J228" s="16"/>
      <c r="K228" s="16"/>
      <c r="L228" s="16"/>
      <c r="M228" s="15"/>
      <c r="N228" s="16"/>
      <c r="O228" s="16"/>
      <c r="P228" s="16"/>
      <c r="Q228" s="16"/>
      <c r="R228" s="16"/>
      <c r="S228" s="16"/>
      <c r="T228" s="16"/>
      <c r="U228" s="16"/>
      <c r="V228" s="16"/>
    </row>
    <row r="229" spans="1:22" ht="13.2">
      <c r="A229" s="12"/>
      <c r="B229" s="46"/>
      <c r="C229" s="12"/>
      <c r="D229" s="15"/>
      <c r="E229" s="15"/>
      <c r="F229" s="15"/>
      <c r="G229" s="16"/>
      <c r="H229" s="16"/>
      <c r="I229" s="16"/>
      <c r="J229" s="16"/>
      <c r="K229" s="16"/>
      <c r="L229" s="16"/>
      <c r="M229" s="15"/>
      <c r="N229" s="16"/>
      <c r="O229" s="16"/>
      <c r="P229" s="16"/>
      <c r="Q229" s="16"/>
      <c r="R229" s="16"/>
      <c r="S229" s="16"/>
      <c r="T229" s="16"/>
      <c r="U229" s="16"/>
      <c r="V229" s="16"/>
    </row>
    <row r="230" spans="1:22" ht="13.2">
      <c r="A230" s="12"/>
      <c r="B230" s="46"/>
      <c r="C230" s="12"/>
      <c r="D230" s="15"/>
      <c r="E230" s="15"/>
      <c r="F230" s="15"/>
      <c r="G230" s="16"/>
      <c r="H230" s="16"/>
      <c r="I230" s="16"/>
      <c r="J230" s="16"/>
      <c r="K230" s="16"/>
      <c r="L230" s="16"/>
      <c r="M230" s="15"/>
      <c r="N230" s="16"/>
      <c r="O230" s="16"/>
      <c r="P230" s="16"/>
      <c r="Q230" s="16"/>
      <c r="R230" s="16"/>
      <c r="S230" s="16"/>
      <c r="T230" s="16"/>
      <c r="U230" s="16"/>
      <c r="V230" s="16"/>
    </row>
    <row r="231" spans="1:22" ht="13.2">
      <c r="A231" s="12"/>
      <c r="B231" s="46"/>
      <c r="C231" s="12"/>
      <c r="D231" s="15"/>
      <c r="E231" s="15"/>
      <c r="F231" s="15"/>
      <c r="G231" s="16"/>
      <c r="H231" s="16"/>
      <c r="I231" s="16"/>
      <c r="J231" s="16"/>
      <c r="K231" s="16"/>
      <c r="L231" s="16"/>
      <c r="M231" s="15"/>
      <c r="N231" s="16"/>
      <c r="O231" s="16"/>
      <c r="P231" s="16"/>
      <c r="Q231" s="16"/>
      <c r="R231" s="16"/>
      <c r="S231" s="16"/>
      <c r="T231" s="16"/>
      <c r="U231" s="16"/>
      <c r="V231" s="16"/>
    </row>
    <row r="232" spans="1:22" ht="13.2">
      <c r="A232" s="12"/>
      <c r="B232" s="46"/>
      <c r="C232" s="12"/>
      <c r="D232" s="15"/>
      <c r="E232" s="15"/>
      <c r="F232" s="15"/>
      <c r="G232" s="16"/>
      <c r="H232" s="16"/>
      <c r="I232" s="16"/>
      <c r="J232" s="16"/>
      <c r="K232" s="16"/>
      <c r="L232" s="16"/>
      <c r="M232" s="15"/>
      <c r="N232" s="16"/>
      <c r="O232" s="16"/>
      <c r="P232" s="16"/>
      <c r="Q232" s="16"/>
      <c r="R232" s="16"/>
      <c r="S232" s="16"/>
      <c r="T232" s="16"/>
      <c r="U232" s="16"/>
      <c r="V232" s="16"/>
    </row>
    <row r="233" spans="1:22" ht="13.2">
      <c r="A233" s="12"/>
      <c r="B233" s="46"/>
      <c r="C233" s="12"/>
      <c r="D233" s="15"/>
      <c r="E233" s="15"/>
      <c r="F233" s="15"/>
      <c r="G233" s="16"/>
      <c r="H233" s="16"/>
      <c r="I233" s="16"/>
      <c r="J233" s="16"/>
      <c r="K233" s="16"/>
      <c r="L233" s="16"/>
      <c r="M233" s="15"/>
      <c r="N233" s="16"/>
      <c r="O233" s="16"/>
      <c r="P233" s="16"/>
      <c r="Q233" s="16"/>
      <c r="R233" s="16"/>
      <c r="S233" s="16"/>
      <c r="T233" s="16"/>
      <c r="U233" s="16"/>
      <c r="V233" s="16"/>
    </row>
    <row r="234" spans="1:22" ht="13.2">
      <c r="A234" s="12"/>
      <c r="B234" s="46"/>
      <c r="C234" s="12"/>
      <c r="D234" s="15"/>
      <c r="E234" s="15"/>
      <c r="F234" s="15"/>
      <c r="G234" s="16"/>
      <c r="H234" s="16"/>
      <c r="I234" s="16"/>
      <c r="J234" s="16"/>
      <c r="K234" s="16"/>
      <c r="L234" s="16"/>
      <c r="M234" s="15"/>
      <c r="N234" s="16"/>
      <c r="O234" s="16"/>
      <c r="P234" s="16"/>
      <c r="Q234" s="16"/>
      <c r="R234" s="16"/>
      <c r="S234" s="16"/>
      <c r="T234" s="16"/>
      <c r="U234" s="16"/>
      <c r="V234" s="16"/>
    </row>
    <row r="235" spans="1:22" ht="13.2">
      <c r="A235" s="12"/>
      <c r="B235" s="46"/>
      <c r="C235" s="12"/>
      <c r="D235" s="15"/>
      <c r="E235" s="15"/>
      <c r="F235" s="15"/>
      <c r="G235" s="16"/>
      <c r="H235" s="16"/>
      <c r="I235" s="16"/>
      <c r="J235" s="16"/>
      <c r="K235" s="16"/>
      <c r="L235" s="16"/>
      <c r="M235" s="15"/>
      <c r="N235" s="16"/>
      <c r="O235" s="16"/>
      <c r="P235" s="16"/>
      <c r="Q235" s="16"/>
      <c r="R235" s="16"/>
      <c r="S235" s="16"/>
      <c r="T235" s="16"/>
      <c r="U235" s="16"/>
      <c r="V235" s="16"/>
    </row>
    <row r="236" spans="1:22" ht="13.2">
      <c r="A236" s="12"/>
      <c r="B236" s="46"/>
      <c r="C236" s="12"/>
      <c r="D236" s="15"/>
      <c r="E236" s="15"/>
      <c r="F236" s="15"/>
      <c r="G236" s="16"/>
      <c r="H236" s="16"/>
      <c r="I236" s="16"/>
      <c r="J236" s="16"/>
      <c r="K236" s="16"/>
      <c r="L236" s="16"/>
      <c r="M236" s="15"/>
      <c r="N236" s="16"/>
      <c r="O236" s="16"/>
      <c r="P236" s="16"/>
      <c r="Q236" s="16"/>
      <c r="R236" s="16"/>
      <c r="S236" s="16"/>
      <c r="T236" s="16"/>
      <c r="U236" s="16"/>
      <c r="V236" s="16"/>
    </row>
    <row r="237" spans="1:22" ht="13.2">
      <c r="A237" s="12"/>
      <c r="B237" s="46"/>
      <c r="C237" s="12"/>
      <c r="D237" s="15"/>
      <c r="E237" s="15"/>
      <c r="F237" s="15"/>
      <c r="G237" s="16"/>
      <c r="H237" s="16"/>
      <c r="I237" s="16"/>
      <c r="J237" s="16"/>
      <c r="K237" s="16"/>
      <c r="L237" s="16"/>
      <c r="M237" s="15"/>
      <c r="N237" s="16"/>
      <c r="O237" s="16"/>
      <c r="P237" s="16"/>
      <c r="Q237" s="16"/>
      <c r="R237" s="16"/>
      <c r="S237" s="16"/>
      <c r="T237" s="16"/>
      <c r="U237" s="16"/>
      <c r="V237" s="16"/>
    </row>
    <row r="238" spans="1:22" ht="13.2">
      <c r="A238" s="12"/>
      <c r="B238" s="46"/>
      <c r="C238" s="12"/>
      <c r="D238" s="15"/>
      <c r="E238" s="15"/>
      <c r="F238" s="15"/>
      <c r="G238" s="16"/>
      <c r="H238" s="16"/>
      <c r="I238" s="16"/>
      <c r="J238" s="16"/>
      <c r="K238" s="16"/>
      <c r="L238" s="16"/>
      <c r="M238" s="15"/>
      <c r="N238" s="16"/>
      <c r="O238" s="16"/>
      <c r="P238" s="16"/>
      <c r="Q238" s="16"/>
      <c r="R238" s="16"/>
      <c r="S238" s="16"/>
      <c r="T238" s="16"/>
      <c r="U238" s="16"/>
      <c r="V238" s="16"/>
    </row>
    <row r="239" spans="1:22" ht="13.2">
      <c r="A239" s="12"/>
      <c r="B239" s="46"/>
      <c r="C239" s="12"/>
      <c r="D239" s="15"/>
      <c r="E239" s="15"/>
      <c r="F239" s="15"/>
      <c r="G239" s="16"/>
      <c r="H239" s="16"/>
      <c r="I239" s="16"/>
      <c r="J239" s="16"/>
      <c r="K239" s="16"/>
      <c r="L239" s="16"/>
      <c r="M239" s="15"/>
      <c r="N239" s="16"/>
      <c r="O239" s="16"/>
      <c r="P239" s="16"/>
      <c r="Q239" s="16"/>
      <c r="R239" s="16"/>
      <c r="S239" s="16"/>
      <c r="T239" s="16"/>
      <c r="U239" s="16"/>
      <c r="V239" s="16"/>
    </row>
    <row r="240" spans="1:22" ht="13.2">
      <c r="A240" s="12"/>
      <c r="B240" s="46"/>
      <c r="C240" s="12"/>
      <c r="D240" s="15"/>
      <c r="E240" s="15"/>
      <c r="F240" s="15"/>
      <c r="G240" s="16"/>
      <c r="H240" s="16"/>
      <c r="I240" s="16"/>
      <c r="J240" s="16"/>
      <c r="K240" s="16"/>
      <c r="L240" s="16"/>
      <c r="M240" s="15"/>
      <c r="N240" s="16"/>
      <c r="O240" s="16"/>
      <c r="P240" s="16"/>
      <c r="Q240" s="16"/>
      <c r="R240" s="16"/>
      <c r="S240" s="16"/>
      <c r="T240" s="16"/>
      <c r="U240" s="16"/>
      <c r="V240" s="16"/>
    </row>
    <row r="241" spans="1:22" ht="13.2">
      <c r="A241" s="12"/>
      <c r="B241" s="46"/>
      <c r="C241" s="12"/>
      <c r="D241" s="15"/>
      <c r="E241" s="15"/>
      <c r="F241" s="15"/>
      <c r="G241" s="16"/>
      <c r="H241" s="16"/>
      <c r="I241" s="16"/>
      <c r="J241" s="16"/>
      <c r="K241" s="16"/>
      <c r="L241" s="16"/>
      <c r="M241" s="15"/>
      <c r="N241" s="16"/>
      <c r="O241" s="16"/>
      <c r="P241" s="16"/>
      <c r="Q241" s="16"/>
      <c r="R241" s="16"/>
      <c r="S241" s="16"/>
      <c r="T241" s="16"/>
      <c r="U241" s="16"/>
      <c r="V241" s="16"/>
    </row>
    <row r="242" spans="1:22" ht="13.2">
      <c r="A242" s="12"/>
      <c r="B242" s="46"/>
      <c r="C242" s="12"/>
      <c r="D242" s="15"/>
      <c r="E242" s="15"/>
      <c r="F242" s="15"/>
      <c r="G242" s="16"/>
      <c r="H242" s="16"/>
      <c r="I242" s="16"/>
      <c r="J242" s="16"/>
      <c r="K242" s="16"/>
      <c r="L242" s="16"/>
      <c r="M242" s="15"/>
      <c r="N242" s="16"/>
      <c r="O242" s="16"/>
      <c r="P242" s="16"/>
      <c r="Q242" s="16"/>
      <c r="R242" s="16"/>
      <c r="S242" s="16"/>
      <c r="T242" s="16"/>
      <c r="U242" s="16"/>
      <c r="V242" s="16"/>
    </row>
    <row r="243" spans="1:22" ht="13.2">
      <c r="A243" s="12"/>
      <c r="B243" s="46"/>
      <c r="C243" s="12"/>
      <c r="D243" s="15"/>
      <c r="E243" s="15"/>
      <c r="F243" s="15"/>
      <c r="G243" s="16"/>
      <c r="H243" s="16"/>
      <c r="I243" s="16"/>
      <c r="J243" s="16"/>
      <c r="K243" s="16"/>
      <c r="L243" s="16"/>
      <c r="M243" s="15"/>
      <c r="N243" s="16"/>
      <c r="O243" s="16"/>
      <c r="P243" s="16"/>
      <c r="Q243" s="16"/>
      <c r="R243" s="16"/>
      <c r="S243" s="16"/>
      <c r="T243" s="16"/>
      <c r="U243" s="16"/>
      <c r="V243" s="16"/>
    </row>
    <row r="244" spans="1:22" ht="13.2">
      <c r="A244" s="12"/>
      <c r="B244" s="46"/>
      <c r="C244" s="12"/>
      <c r="D244" s="15"/>
      <c r="E244" s="15"/>
      <c r="F244" s="15"/>
      <c r="G244" s="16"/>
      <c r="H244" s="16"/>
      <c r="I244" s="16"/>
      <c r="J244" s="16"/>
      <c r="K244" s="16"/>
      <c r="L244" s="16"/>
      <c r="M244" s="15"/>
      <c r="N244" s="16"/>
      <c r="O244" s="16"/>
      <c r="P244" s="16"/>
      <c r="Q244" s="16"/>
      <c r="R244" s="16"/>
      <c r="S244" s="16"/>
      <c r="T244" s="16"/>
      <c r="U244" s="16"/>
      <c r="V244" s="16"/>
    </row>
    <row r="245" spans="1:22" ht="13.2">
      <c r="A245" s="12"/>
      <c r="B245" s="46"/>
      <c r="C245" s="12"/>
      <c r="D245" s="15"/>
      <c r="E245" s="15"/>
      <c r="F245" s="15"/>
      <c r="G245" s="16"/>
      <c r="H245" s="16"/>
      <c r="I245" s="16"/>
      <c r="J245" s="16"/>
      <c r="K245" s="16"/>
      <c r="L245" s="16"/>
      <c r="M245" s="15"/>
      <c r="N245" s="16"/>
      <c r="O245" s="16"/>
      <c r="P245" s="16"/>
      <c r="Q245" s="16"/>
      <c r="R245" s="16"/>
      <c r="S245" s="16"/>
      <c r="T245" s="16"/>
      <c r="U245" s="16"/>
      <c r="V245" s="16"/>
    </row>
    <row r="246" spans="1:22" ht="13.2">
      <c r="A246" s="12"/>
      <c r="B246" s="46"/>
      <c r="C246" s="12"/>
      <c r="D246" s="15"/>
      <c r="E246" s="15"/>
      <c r="F246" s="15"/>
      <c r="G246" s="16"/>
      <c r="H246" s="16"/>
      <c r="I246" s="16"/>
      <c r="J246" s="16"/>
      <c r="K246" s="16"/>
      <c r="L246" s="16"/>
      <c r="M246" s="15"/>
      <c r="N246" s="16"/>
      <c r="O246" s="16"/>
      <c r="P246" s="16"/>
      <c r="Q246" s="16"/>
      <c r="R246" s="16"/>
      <c r="S246" s="16"/>
      <c r="T246" s="16"/>
      <c r="U246" s="16"/>
      <c r="V246" s="16"/>
    </row>
    <row r="247" spans="1:22" ht="13.2">
      <c r="A247" s="12"/>
      <c r="B247" s="46"/>
      <c r="C247" s="12"/>
      <c r="D247" s="15"/>
      <c r="E247" s="15"/>
      <c r="F247" s="15"/>
      <c r="G247" s="16"/>
      <c r="H247" s="16"/>
      <c r="I247" s="16"/>
      <c r="J247" s="16"/>
      <c r="K247" s="16"/>
      <c r="L247" s="16"/>
      <c r="M247" s="15"/>
      <c r="N247" s="16"/>
      <c r="O247" s="16"/>
      <c r="P247" s="16"/>
      <c r="Q247" s="16"/>
      <c r="R247" s="16"/>
      <c r="S247" s="16"/>
      <c r="T247" s="16"/>
      <c r="U247" s="16"/>
      <c r="V247" s="16"/>
    </row>
    <row r="248" spans="1:22" ht="13.2">
      <c r="A248" s="12"/>
      <c r="B248" s="46"/>
      <c r="C248" s="12"/>
      <c r="D248" s="15"/>
      <c r="E248" s="15"/>
      <c r="F248" s="15"/>
      <c r="G248" s="16"/>
      <c r="H248" s="16"/>
      <c r="I248" s="16"/>
      <c r="J248" s="16"/>
      <c r="K248" s="16"/>
      <c r="L248" s="16"/>
      <c r="M248" s="15"/>
      <c r="N248" s="16"/>
      <c r="O248" s="16"/>
      <c r="P248" s="16"/>
      <c r="Q248" s="16"/>
      <c r="R248" s="16"/>
      <c r="S248" s="16"/>
      <c r="T248" s="16"/>
      <c r="U248" s="16"/>
      <c r="V248" s="16"/>
    </row>
    <row r="249" spans="1:22" ht="13.2">
      <c r="A249" s="12"/>
      <c r="B249" s="46"/>
      <c r="C249" s="12"/>
      <c r="D249" s="15"/>
      <c r="E249" s="15"/>
      <c r="F249" s="15"/>
      <c r="G249" s="16"/>
      <c r="H249" s="16"/>
      <c r="I249" s="16"/>
      <c r="J249" s="16"/>
      <c r="K249" s="16"/>
      <c r="L249" s="16"/>
      <c r="M249" s="15"/>
      <c r="N249" s="16"/>
      <c r="O249" s="16"/>
      <c r="P249" s="16"/>
      <c r="Q249" s="16"/>
      <c r="R249" s="16"/>
      <c r="S249" s="16"/>
      <c r="T249" s="16"/>
      <c r="U249" s="16"/>
      <c r="V249" s="16"/>
    </row>
    <row r="250" spans="1:22" ht="13.2">
      <c r="A250" s="12"/>
      <c r="B250" s="46"/>
      <c r="C250" s="12"/>
      <c r="D250" s="15"/>
      <c r="E250" s="15"/>
      <c r="F250" s="15"/>
      <c r="G250" s="16"/>
      <c r="H250" s="16"/>
      <c r="I250" s="16"/>
      <c r="J250" s="16"/>
      <c r="K250" s="16"/>
      <c r="L250" s="16"/>
      <c r="M250" s="15"/>
      <c r="N250" s="16"/>
      <c r="O250" s="16"/>
      <c r="P250" s="16"/>
      <c r="Q250" s="16"/>
      <c r="R250" s="16"/>
      <c r="S250" s="16"/>
      <c r="T250" s="16"/>
      <c r="U250" s="16"/>
      <c r="V250" s="16"/>
    </row>
    <row r="251" spans="1:22" ht="13.2">
      <c r="A251" s="12"/>
      <c r="B251" s="46"/>
      <c r="C251" s="12"/>
      <c r="D251" s="15"/>
      <c r="E251" s="15"/>
      <c r="F251" s="15"/>
      <c r="G251" s="16"/>
      <c r="H251" s="16"/>
      <c r="I251" s="16"/>
      <c r="J251" s="16"/>
      <c r="K251" s="16"/>
      <c r="L251" s="16"/>
      <c r="M251" s="15"/>
      <c r="N251" s="16"/>
      <c r="O251" s="16"/>
      <c r="P251" s="16"/>
      <c r="Q251" s="16"/>
      <c r="R251" s="16"/>
      <c r="S251" s="16"/>
      <c r="T251" s="16"/>
      <c r="U251" s="16"/>
      <c r="V251" s="16"/>
    </row>
    <row r="252" spans="1:22" ht="13.2">
      <c r="A252" s="12"/>
      <c r="B252" s="46"/>
      <c r="C252" s="12"/>
      <c r="D252" s="15"/>
      <c r="E252" s="15"/>
      <c r="F252" s="15"/>
      <c r="G252" s="16"/>
      <c r="H252" s="16"/>
      <c r="I252" s="16"/>
      <c r="J252" s="16"/>
      <c r="K252" s="16"/>
      <c r="L252" s="16"/>
      <c r="M252" s="15"/>
      <c r="N252" s="16"/>
      <c r="O252" s="16"/>
      <c r="P252" s="16"/>
      <c r="Q252" s="16"/>
      <c r="R252" s="16"/>
      <c r="S252" s="16"/>
      <c r="T252" s="16"/>
      <c r="U252" s="16"/>
      <c r="V252" s="16"/>
    </row>
    <row r="253" spans="1:22" ht="13.2">
      <c r="A253" s="12"/>
      <c r="B253" s="46"/>
      <c r="C253" s="12"/>
      <c r="D253" s="15"/>
      <c r="E253" s="15"/>
      <c r="F253" s="15"/>
      <c r="G253" s="16"/>
      <c r="H253" s="16"/>
      <c r="I253" s="16"/>
      <c r="J253" s="16"/>
      <c r="K253" s="16"/>
      <c r="L253" s="16"/>
      <c r="M253" s="15"/>
      <c r="N253" s="16"/>
      <c r="O253" s="16"/>
      <c r="P253" s="16"/>
      <c r="Q253" s="16"/>
      <c r="R253" s="16"/>
      <c r="S253" s="16"/>
      <c r="T253" s="16"/>
      <c r="U253" s="16"/>
      <c r="V253" s="16"/>
    </row>
    <row r="254" spans="1:22" ht="13.2">
      <c r="A254" s="12"/>
      <c r="B254" s="46"/>
      <c r="C254" s="12"/>
      <c r="D254" s="15"/>
      <c r="E254" s="15"/>
      <c r="F254" s="15"/>
      <c r="G254" s="16"/>
      <c r="H254" s="16"/>
      <c r="I254" s="16"/>
      <c r="J254" s="16"/>
      <c r="K254" s="16"/>
      <c r="L254" s="16"/>
      <c r="M254" s="15"/>
      <c r="N254" s="16"/>
      <c r="O254" s="16"/>
      <c r="P254" s="16"/>
      <c r="Q254" s="16"/>
      <c r="R254" s="16"/>
      <c r="S254" s="16"/>
      <c r="T254" s="16"/>
      <c r="U254" s="16"/>
      <c r="V254" s="16"/>
    </row>
    <row r="255" spans="1:22" ht="13.2">
      <c r="A255" s="12"/>
      <c r="B255" s="46"/>
      <c r="C255" s="12"/>
      <c r="D255" s="15"/>
      <c r="E255" s="15"/>
      <c r="F255" s="15"/>
      <c r="G255" s="16"/>
      <c r="H255" s="16"/>
      <c r="I255" s="16"/>
      <c r="J255" s="16"/>
      <c r="K255" s="16"/>
      <c r="L255" s="16"/>
      <c r="M255" s="15"/>
      <c r="N255" s="16"/>
      <c r="O255" s="16"/>
      <c r="P255" s="16"/>
      <c r="Q255" s="16"/>
      <c r="R255" s="16"/>
      <c r="S255" s="16"/>
      <c r="T255" s="16"/>
      <c r="U255" s="16"/>
      <c r="V255" s="16"/>
    </row>
    <row r="256" spans="1:22" ht="13.2">
      <c r="A256" s="12"/>
      <c r="B256" s="46"/>
      <c r="C256" s="12"/>
      <c r="D256" s="15"/>
      <c r="E256" s="15"/>
      <c r="F256" s="15"/>
      <c r="G256" s="16"/>
      <c r="H256" s="16"/>
      <c r="I256" s="16"/>
      <c r="J256" s="16"/>
      <c r="K256" s="16"/>
      <c r="L256" s="16"/>
      <c r="M256" s="15"/>
      <c r="N256" s="16"/>
      <c r="O256" s="16"/>
      <c r="P256" s="16"/>
      <c r="Q256" s="16"/>
      <c r="R256" s="16"/>
      <c r="S256" s="16"/>
      <c r="T256" s="16"/>
      <c r="U256" s="16"/>
      <c r="V256" s="16"/>
    </row>
    <row r="257" spans="1:22" ht="13.2">
      <c r="A257" s="12"/>
      <c r="B257" s="46"/>
      <c r="C257" s="12"/>
      <c r="D257" s="15"/>
      <c r="E257" s="15"/>
      <c r="F257" s="15"/>
      <c r="G257" s="16"/>
      <c r="H257" s="16"/>
      <c r="I257" s="16"/>
      <c r="J257" s="16"/>
      <c r="K257" s="16"/>
      <c r="L257" s="16"/>
      <c r="M257" s="15"/>
      <c r="N257" s="16"/>
      <c r="O257" s="16"/>
      <c r="P257" s="16"/>
      <c r="Q257" s="16"/>
      <c r="R257" s="16"/>
      <c r="S257" s="16"/>
      <c r="T257" s="16"/>
      <c r="U257" s="16"/>
      <c r="V257" s="16"/>
    </row>
    <row r="258" spans="1:22" ht="13.2">
      <c r="A258" s="12"/>
      <c r="B258" s="46"/>
      <c r="C258" s="12"/>
      <c r="D258" s="15"/>
      <c r="E258" s="15"/>
      <c r="F258" s="15"/>
      <c r="G258" s="16"/>
      <c r="H258" s="16"/>
      <c r="I258" s="16"/>
      <c r="J258" s="16"/>
      <c r="K258" s="16"/>
      <c r="L258" s="16"/>
      <c r="M258" s="15"/>
      <c r="N258" s="16"/>
      <c r="O258" s="16"/>
      <c r="P258" s="16"/>
      <c r="Q258" s="16"/>
      <c r="R258" s="16"/>
      <c r="S258" s="16"/>
      <c r="T258" s="16"/>
      <c r="U258" s="16"/>
      <c r="V258" s="16"/>
    </row>
    <row r="259" spans="1:22" ht="13.2">
      <c r="A259" s="12"/>
      <c r="B259" s="46"/>
      <c r="C259" s="12"/>
      <c r="D259" s="15"/>
      <c r="E259" s="15"/>
      <c r="F259" s="15"/>
      <c r="G259" s="16"/>
      <c r="H259" s="16"/>
      <c r="I259" s="16"/>
      <c r="J259" s="16"/>
      <c r="K259" s="16"/>
      <c r="L259" s="16"/>
      <c r="M259" s="15"/>
      <c r="N259" s="16"/>
      <c r="O259" s="16"/>
      <c r="P259" s="16"/>
      <c r="Q259" s="16"/>
      <c r="R259" s="16"/>
      <c r="S259" s="16"/>
      <c r="T259" s="16"/>
      <c r="U259" s="16"/>
      <c r="V259" s="16"/>
    </row>
    <row r="260" spans="1:22" ht="13.2">
      <c r="A260" s="12"/>
      <c r="B260" s="46"/>
      <c r="C260" s="12"/>
      <c r="D260" s="15"/>
      <c r="E260" s="15"/>
      <c r="F260" s="15"/>
      <c r="G260" s="16"/>
      <c r="H260" s="16"/>
      <c r="I260" s="16"/>
      <c r="J260" s="16"/>
      <c r="K260" s="16"/>
      <c r="L260" s="16"/>
      <c r="M260" s="15"/>
      <c r="N260" s="16"/>
      <c r="O260" s="16"/>
      <c r="P260" s="16"/>
      <c r="Q260" s="16"/>
      <c r="R260" s="16"/>
      <c r="S260" s="16"/>
      <c r="T260" s="16"/>
      <c r="U260" s="16"/>
      <c r="V260" s="16"/>
    </row>
    <row r="261" spans="1:22" ht="13.2">
      <c r="A261" s="12"/>
      <c r="B261" s="46"/>
      <c r="C261" s="12"/>
      <c r="D261" s="15"/>
      <c r="E261" s="15"/>
      <c r="F261" s="15"/>
      <c r="G261" s="16"/>
      <c r="H261" s="16"/>
      <c r="I261" s="16"/>
      <c r="J261" s="16"/>
      <c r="K261" s="16"/>
      <c r="L261" s="16"/>
      <c r="M261" s="15"/>
      <c r="N261" s="16"/>
      <c r="O261" s="16"/>
      <c r="P261" s="16"/>
      <c r="Q261" s="16"/>
      <c r="R261" s="16"/>
      <c r="S261" s="16"/>
      <c r="T261" s="16"/>
      <c r="U261" s="16"/>
      <c r="V261" s="16"/>
    </row>
    <row r="262" spans="1:22" ht="13.2">
      <c r="A262" s="12"/>
      <c r="B262" s="46"/>
      <c r="C262" s="12"/>
      <c r="D262" s="15"/>
      <c r="E262" s="15"/>
      <c r="F262" s="15"/>
      <c r="G262" s="16"/>
      <c r="H262" s="16"/>
      <c r="I262" s="16"/>
      <c r="J262" s="16"/>
      <c r="K262" s="16"/>
      <c r="L262" s="16"/>
      <c r="M262" s="15"/>
      <c r="N262" s="16"/>
      <c r="O262" s="16"/>
      <c r="P262" s="16"/>
      <c r="Q262" s="16"/>
      <c r="R262" s="16"/>
      <c r="S262" s="16"/>
      <c r="T262" s="16"/>
      <c r="U262" s="16"/>
      <c r="V262" s="16"/>
    </row>
    <row r="263" spans="1:22" ht="13.2">
      <c r="A263" s="12"/>
      <c r="B263" s="46"/>
      <c r="C263" s="12"/>
      <c r="D263" s="15"/>
      <c r="E263" s="15"/>
      <c r="F263" s="15"/>
      <c r="G263" s="16"/>
      <c r="H263" s="16"/>
      <c r="I263" s="16"/>
      <c r="J263" s="16"/>
      <c r="K263" s="16"/>
      <c r="L263" s="16"/>
      <c r="M263" s="15"/>
      <c r="N263" s="16"/>
      <c r="O263" s="16"/>
      <c r="P263" s="16"/>
      <c r="Q263" s="16"/>
      <c r="R263" s="16"/>
      <c r="S263" s="16"/>
      <c r="T263" s="16"/>
      <c r="U263" s="16"/>
      <c r="V263" s="16"/>
    </row>
    <row r="264" spans="1:22" ht="13.2">
      <c r="A264" s="12"/>
      <c r="B264" s="46"/>
      <c r="C264" s="12"/>
      <c r="D264" s="15"/>
      <c r="E264" s="15"/>
      <c r="F264" s="15"/>
      <c r="G264" s="16"/>
      <c r="H264" s="16"/>
      <c r="I264" s="16"/>
      <c r="J264" s="16"/>
      <c r="K264" s="16"/>
      <c r="L264" s="16"/>
      <c r="M264" s="15"/>
      <c r="N264" s="16"/>
      <c r="O264" s="16"/>
      <c r="P264" s="16"/>
      <c r="Q264" s="16"/>
      <c r="R264" s="16"/>
      <c r="S264" s="16"/>
      <c r="T264" s="16"/>
      <c r="U264" s="16"/>
      <c r="V264" s="16"/>
    </row>
    <row r="265" spans="1:22" ht="13.2">
      <c r="A265" s="12"/>
      <c r="B265" s="46"/>
      <c r="C265" s="12"/>
      <c r="D265" s="15"/>
      <c r="E265" s="15"/>
      <c r="F265" s="15"/>
      <c r="G265" s="16"/>
      <c r="H265" s="16"/>
      <c r="I265" s="16"/>
      <c r="J265" s="16"/>
      <c r="K265" s="16"/>
      <c r="L265" s="16"/>
      <c r="M265" s="15"/>
      <c r="N265" s="16"/>
      <c r="O265" s="16"/>
      <c r="P265" s="16"/>
      <c r="Q265" s="16"/>
      <c r="R265" s="16"/>
      <c r="S265" s="16"/>
      <c r="T265" s="16"/>
      <c r="U265" s="16"/>
      <c r="V265" s="16"/>
    </row>
    <row r="266" spans="1:22" ht="13.2">
      <c r="A266" s="12"/>
      <c r="B266" s="46"/>
      <c r="C266" s="12"/>
      <c r="D266" s="15"/>
      <c r="E266" s="15"/>
      <c r="F266" s="15"/>
      <c r="G266" s="16"/>
      <c r="H266" s="16"/>
      <c r="I266" s="16"/>
      <c r="J266" s="16"/>
      <c r="K266" s="16"/>
      <c r="L266" s="16"/>
      <c r="M266" s="15"/>
      <c r="N266" s="16"/>
      <c r="O266" s="16"/>
      <c r="P266" s="16"/>
      <c r="Q266" s="16"/>
      <c r="R266" s="16"/>
      <c r="S266" s="16"/>
      <c r="T266" s="16"/>
      <c r="U266" s="16"/>
      <c r="V266" s="16"/>
    </row>
    <row r="267" spans="1:22" ht="13.2">
      <c r="A267" s="12"/>
      <c r="B267" s="46"/>
      <c r="C267" s="12"/>
      <c r="D267" s="15"/>
      <c r="E267" s="15"/>
      <c r="F267" s="15"/>
      <c r="G267" s="16"/>
      <c r="H267" s="16"/>
      <c r="I267" s="16"/>
      <c r="J267" s="16"/>
      <c r="K267" s="16"/>
      <c r="L267" s="16"/>
      <c r="M267" s="15"/>
      <c r="N267" s="16"/>
      <c r="O267" s="16"/>
      <c r="P267" s="16"/>
      <c r="Q267" s="16"/>
      <c r="R267" s="16"/>
      <c r="S267" s="16"/>
      <c r="T267" s="16"/>
      <c r="U267" s="16"/>
      <c r="V267" s="16"/>
    </row>
    <row r="268" spans="1:22" ht="13.2">
      <c r="A268" s="12"/>
      <c r="B268" s="46"/>
      <c r="C268" s="12"/>
      <c r="D268" s="15"/>
      <c r="E268" s="15"/>
      <c r="F268" s="15"/>
      <c r="G268" s="16"/>
      <c r="H268" s="16"/>
      <c r="I268" s="16"/>
      <c r="J268" s="16"/>
      <c r="K268" s="16"/>
      <c r="L268" s="16"/>
      <c r="M268" s="15"/>
      <c r="N268" s="16"/>
      <c r="O268" s="16"/>
      <c r="P268" s="16"/>
      <c r="Q268" s="16"/>
      <c r="R268" s="16"/>
      <c r="S268" s="16"/>
      <c r="T268" s="16"/>
      <c r="U268" s="16"/>
      <c r="V268" s="16"/>
    </row>
    <row r="269" spans="1:22" ht="13.2">
      <c r="A269" s="12"/>
      <c r="B269" s="46"/>
      <c r="C269" s="12"/>
      <c r="D269" s="15"/>
      <c r="E269" s="15"/>
      <c r="F269" s="15"/>
      <c r="G269" s="16"/>
      <c r="H269" s="16"/>
      <c r="I269" s="16"/>
      <c r="J269" s="16"/>
      <c r="K269" s="16"/>
      <c r="L269" s="16"/>
      <c r="M269" s="15"/>
      <c r="N269" s="16"/>
      <c r="O269" s="16"/>
      <c r="P269" s="16"/>
      <c r="Q269" s="16"/>
      <c r="R269" s="16"/>
      <c r="S269" s="16"/>
      <c r="T269" s="16"/>
      <c r="U269" s="16"/>
      <c r="V269" s="16"/>
    </row>
    <row r="270" spans="1:22" ht="13.2">
      <c r="A270" s="12"/>
      <c r="B270" s="46"/>
      <c r="C270" s="12"/>
      <c r="D270" s="15"/>
      <c r="E270" s="15"/>
      <c r="F270" s="15"/>
      <c r="G270" s="16"/>
      <c r="H270" s="16"/>
      <c r="I270" s="16"/>
      <c r="J270" s="16"/>
      <c r="K270" s="16"/>
      <c r="L270" s="16"/>
      <c r="M270" s="15"/>
      <c r="N270" s="16"/>
      <c r="O270" s="16"/>
      <c r="P270" s="16"/>
      <c r="Q270" s="16"/>
      <c r="R270" s="16"/>
      <c r="S270" s="16"/>
      <c r="T270" s="16"/>
      <c r="U270" s="16"/>
      <c r="V270" s="16"/>
    </row>
    <row r="271" spans="1:22" ht="13.2">
      <c r="A271" s="12"/>
      <c r="B271" s="46"/>
      <c r="C271" s="12"/>
      <c r="D271" s="15"/>
      <c r="E271" s="15"/>
      <c r="F271" s="15"/>
      <c r="G271" s="16"/>
      <c r="H271" s="16"/>
      <c r="I271" s="16"/>
      <c r="J271" s="16"/>
      <c r="K271" s="16"/>
      <c r="L271" s="16"/>
      <c r="M271" s="15"/>
      <c r="N271" s="16"/>
      <c r="O271" s="16"/>
      <c r="P271" s="16"/>
      <c r="Q271" s="16"/>
      <c r="R271" s="16"/>
      <c r="S271" s="16"/>
      <c r="T271" s="16"/>
      <c r="U271" s="16"/>
      <c r="V271" s="16"/>
    </row>
    <row r="272" spans="1:22" ht="13.2">
      <c r="A272" s="12"/>
      <c r="B272" s="46"/>
      <c r="C272" s="12"/>
      <c r="D272" s="15"/>
      <c r="E272" s="15"/>
      <c r="F272" s="15"/>
      <c r="G272" s="16"/>
      <c r="H272" s="16"/>
      <c r="I272" s="16"/>
      <c r="J272" s="16"/>
      <c r="K272" s="16"/>
      <c r="L272" s="16"/>
      <c r="M272" s="15"/>
      <c r="N272" s="16"/>
      <c r="O272" s="16"/>
      <c r="P272" s="16"/>
      <c r="Q272" s="16"/>
      <c r="R272" s="16"/>
      <c r="S272" s="16"/>
      <c r="T272" s="16"/>
      <c r="U272" s="16"/>
      <c r="V272" s="16"/>
    </row>
    <row r="273" spans="1:22" ht="13.2">
      <c r="A273" s="12"/>
      <c r="B273" s="46"/>
      <c r="C273" s="12"/>
      <c r="D273" s="15"/>
      <c r="E273" s="15"/>
      <c r="F273" s="15"/>
      <c r="G273" s="16"/>
      <c r="H273" s="16"/>
      <c r="I273" s="16"/>
      <c r="J273" s="16"/>
      <c r="K273" s="16"/>
      <c r="L273" s="16"/>
      <c r="M273" s="15"/>
      <c r="N273" s="16"/>
      <c r="O273" s="16"/>
      <c r="P273" s="16"/>
      <c r="Q273" s="16"/>
      <c r="R273" s="16"/>
      <c r="S273" s="16"/>
      <c r="T273" s="16"/>
      <c r="U273" s="16"/>
      <c r="V273" s="16"/>
    </row>
    <row r="274" spans="1:22" ht="13.2">
      <c r="A274" s="12"/>
      <c r="B274" s="46"/>
      <c r="C274" s="12"/>
      <c r="D274" s="15"/>
      <c r="E274" s="15"/>
      <c r="F274" s="15"/>
      <c r="G274" s="16"/>
      <c r="H274" s="16"/>
      <c r="I274" s="16"/>
      <c r="J274" s="16"/>
      <c r="K274" s="16"/>
      <c r="L274" s="16"/>
      <c r="M274" s="15"/>
      <c r="N274" s="16"/>
      <c r="O274" s="16"/>
      <c r="P274" s="16"/>
      <c r="Q274" s="16"/>
      <c r="R274" s="16"/>
      <c r="S274" s="16"/>
      <c r="T274" s="16"/>
      <c r="U274" s="16"/>
      <c r="V274" s="16"/>
    </row>
    <row r="275" spans="1:22" ht="13.2">
      <c r="A275" s="12"/>
      <c r="B275" s="46"/>
      <c r="C275" s="12"/>
      <c r="D275" s="15"/>
      <c r="E275" s="15"/>
      <c r="F275" s="15"/>
      <c r="G275" s="16"/>
      <c r="H275" s="16"/>
      <c r="I275" s="16"/>
      <c r="J275" s="16"/>
      <c r="K275" s="16"/>
      <c r="L275" s="16"/>
      <c r="M275" s="15"/>
      <c r="N275" s="16"/>
      <c r="O275" s="16"/>
      <c r="P275" s="16"/>
      <c r="Q275" s="16"/>
      <c r="R275" s="16"/>
      <c r="S275" s="16"/>
      <c r="T275" s="16"/>
      <c r="U275" s="16"/>
      <c r="V275" s="16"/>
    </row>
    <row r="276" spans="1:22" ht="13.2">
      <c r="A276" s="12"/>
      <c r="B276" s="46"/>
      <c r="C276" s="12"/>
      <c r="D276" s="15"/>
      <c r="E276" s="15"/>
      <c r="F276" s="15"/>
      <c r="G276" s="16"/>
      <c r="H276" s="16"/>
      <c r="I276" s="16"/>
      <c r="J276" s="16"/>
      <c r="K276" s="16"/>
      <c r="L276" s="16"/>
      <c r="M276" s="15"/>
      <c r="N276" s="16"/>
      <c r="O276" s="16"/>
      <c r="P276" s="16"/>
      <c r="Q276" s="16"/>
      <c r="R276" s="16"/>
      <c r="S276" s="16"/>
      <c r="T276" s="16"/>
      <c r="U276" s="16"/>
      <c r="V276" s="16"/>
    </row>
    <row r="277" spans="1:22" ht="13.2">
      <c r="A277" s="12"/>
      <c r="B277" s="46"/>
      <c r="C277" s="12"/>
      <c r="D277" s="15"/>
      <c r="E277" s="15"/>
      <c r="F277" s="15"/>
      <c r="G277" s="16"/>
      <c r="H277" s="16"/>
      <c r="I277" s="16"/>
      <c r="J277" s="16"/>
      <c r="K277" s="16"/>
      <c r="L277" s="16"/>
      <c r="M277" s="15"/>
      <c r="N277" s="16"/>
      <c r="O277" s="16"/>
      <c r="P277" s="16"/>
      <c r="Q277" s="16"/>
      <c r="R277" s="16"/>
      <c r="S277" s="16"/>
      <c r="T277" s="16"/>
      <c r="U277" s="16"/>
      <c r="V277" s="16"/>
    </row>
    <row r="278" spans="1:22" ht="13.2">
      <c r="A278" s="12"/>
      <c r="B278" s="46"/>
      <c r="C278" s="12"/>
      <c r="D278" s="15"/>
      <c r="E278" s="15"/>
      <c r="F278" s="15"/>
      <c r="G278" s="16"/>
      <c r="H278" s="16"/>
      <c r="I278" s="16"/>
      <c r="J278" s="16"/>
      <c r="K278" s="16"/>
      <c r="L278" s="16"/>
      <c r="M278" s="15"/>
      <c r="N278" s="16"/>
      <c r="O278" s="16"/>
      <c r="P278" s="16"/>
      <c r="Q278" s="16"/>
      <c r="R278" s="16"/>
      <c r="S278" s="16"/>
      <c r="T278" s="16"/>
      <c r="U278" s="16"/>
      <c r="V278" s="16"/>
    </row>
    <row r="279" spans="1:22" ht="13.2">
      <c r="A279" s="12"/>
      <c r="B279" s="46"/>
      <c r="C279" s="12"/>
      <c r="D279" s="15"/>
      <c r="E279" s="15"/>
      <c r="F279" s="15"/>
      <c r="G279" s="16"/>
      <c r="H279" s="16"/>
      <c r="I279" s="16"/>
      <c r="J279" s="16"/>
      <c r="K279" s="16"/>
      <c r="L279" s="16"/>
      <c r="M279" s="15"/>
      <c r="N279" s="16"/>
      <c r="O279" s="16"/>
      <c r="P279" s="16"/>
      <c r="Q279" s="16"/>
      <c r="R279" s="16"/>
      <c r="S279" s="16"/>
      <c r="T279" s="16"/>
      <c r="U279" s="16"/>
      <c r="V279" s="16"/>
    </row>
    <row r="280" spans="1:22" ht="13.2">
      <c r="A280" s="12"/>
      <c r="B280" s="46"/>
      <c r="C280" s="12"/>
      <c r="D280" s="15"/>
      <c r="E280" s="15"/>
      <c r="F280" s="15"/>
      <c r="G280" s="16"/>
      <c r="H280" s="16"/>
      <c r="I280" s="16"/>
      <c r="J280" s="16"/>
      <c r="K280" s="16"/>
      <c r="L280" s="16"/>
      <c r="M280" s="15"/>
      <c r="N280" s="16"/>
      <c r="O280" s="16"/>
      <c r="P280" s="16"/>
      <c r="Q280" s="16"/>
      <c r="R280" s="16"/>
      <c r="S280" s="16"/>
      <c r="T280" s="16"/>
      <c r="U280" s="16"/>
      <c r="V280" s="16"/>
    </row>
    <row r="281" spans="1:22" ht="13.2">
      <c r="A281" s="12"/>
      <c r="B281" s="46"/>
      <c r="C281" s="12"/>
      <c r="D281" s="15"/>
      <c r="E281" s="15"/>
      <c r="F281" s="15"/>
      <c r="G281" s="16"/>
      <c r="H281" s="16"/>
      <c r="I281" s="16"/>
      <c r="J281" s="16"/>
      <c r="K281" s="16"/>
      <c r="L281" s="16"/>
      <c r="M281" s="15"/>
      <c r="N281" s="16"/>
      <c r="O281" s="16"/>
      <c r="P281" s="16"/>
      <c r="Q281" s="16"/>
      <c r="R281" s="16"/>
      <c r="S281" s="16"/>
      <c r="T281" s="16"/>
      <c r="U281" s="16"/>
      <c r="V281" s="16"/>
    </row>
    <row r="282" spans="1:22" ht="13.2">
      <c r="A282" s="12"/>
      <c r="B282" s="46"/>
      <c r="C282" s="12"/>
      <c r="D282" s="15"/>
      <c r="E282" s="15"/>
      <c r="F282" s="15"/>
      <c r="G282" s="16"/>
      <c r="H282" s="16"/>
      <c r="I282" s="16"/>
      <c r="J282" s="16"/>
      <c r="K282" s="16"/>
      <c r="L282" s="16"/>
      <c r="M282" s="15"/>
      <c r="N282" s="16"/>
      <c r="O282" s="16"/>
      <c r="P282" s="16"/>
      <c r="Q282" s="16"/>
      <c r="R282" s="16"/>
      <c r="S282" s="16"/>
      <c r="T282" s="16"/>
      <c r="U282" s="16"/>
      <c r="V282" s="16"/>
    </row>
    <row r="283" spans="1:22" ht="13.2">
      <c r="A283" s="12"/>
      <c r="B283" s="46"/>
      <c r="C283" s="12"/>
      <c r="D283" s="15"/>
      <c r="E283" s="15"/>
      <c r="F283" s="15"/>
      <c r="G283" s="16"/>
      <c r="H283" s="16"/>
      <c r="I283" s="16"/>
      <c r="J283" s="16"/>
      <c r="K283" s="16"/>
      <c r="L283" s="16"/>
      <c r="M283" s="15"/>
      <c r="N283" s="16"/>
      <c r="O283" s="16"/>
      <c r="P283" s="16"/>
      <c r="Q283" s="16"/>
      <c r="R283" s="16"/>
      <c r="S283" s="16"/>
      <c r="T283" s="16"/>
      <c r="U283" s="16"/>
      <c r="V283" s="16"/>
    </row>
    <row r="284" spans="1:22" ht="13.2">
      <c r="A284" s="12"/>
      <c r="B284" s="46"/>
      <c r="C284" s="12"/>
      <c r="D284" s="15"/>
      <c r="E284" s="15"/>
      <c r="F284" s="15"/>
      <c r="G284" s="16"/>
      <c r="H284" s="16"/>
      <c r="I284" s="16"/>
      <c r="J284" s="16"/>
      <c r="K284" s="16"/>
      <c r="L284" s="16"/>
      <c r="M284" s="15"/>
      <c r="N284" s="16"/>
      <c r="O284" s="16"/>
      <c r="P284" s="16"/>
      <c r="Q284" s="16"/>
      <c r="R284" s="16"/>
      <c r="S284" s="16"/>
      <c r="T284" s="16"/>
      <c r="U284" s="16"/>
      <c r="V284" s="16"/>
    </row>
    <row r="285" spans="1:22" ht="13.2">
      <c r="A285" s="12"/>
      <c r="B285" s="46"/>
      <c r="C285" s="12"/>
      <c r="D285" s="15"/>
      <c r="E285" s="15"/>
      <c r="F285" s="15"/>
      <c r="G285" s="16"/>
      <c r="H285" s="16"/>
      <c r="I285" s="16"/>
      <c r="J285" s="16"/>
      <c r="K285" s="16"/>
      <c r="L285" s="16"/>
      <c r="M285" s="15"/>
      <c r="N285" s="16"/>
      <c r="O285" s="16"/>
      <c r="P285" s="16"/>
      <c r="Q285" s="16"/>
      <c r="R285" s="16"/>
      <c r="S285" s="16"/>
      <c r="T285" s="16"/>
      <c r="U285" s="16"/>
      <c r="V285" s="16"/>
    </row>
    <row r="286" spans="1:22" ht="13.2">
      <c r="A286" s="12"/>
      <c r="B286" s="46"/>
      <c r="C286" s="12"/>
      <c r="D286" s="15"/>
      <c r="E286" s="15"/>
      <c r="F286" s="15"/>
      <c r="G286" s="16"/>
      <c r="H286" s="16"/>
      <c r="I286" s="16"/>
      <c r="J286" s="16"/>
      <c r="K286" s="16"/>
      <c r="L286" s="16"/>
      <c r="M286" s="15"/>
      <c r="N286" s="16"/>
      <c r="O286" s="16"/>
      <c r="P286" s="16"/>
      <c r="Q286" s="16"/>
      <c r="R286" s="16"/>
      <c r="S286" s="16"/>
      <c r="T286" s="16"/>
      <c r="U286" s="16"/>
      <c r="V286" s="16"/>
    </row>
    <row r="287" spans="1:22" ht="13.2">
      <c r="A287" s="12"/>
      <c r="B287" s="46"/>
      <c r="C287" s="12"/>
      <c r="D287" s="15"/>
      <c r="E287" s="15"/>
      <c r="F287" s="15"/>
      <c r="G287" s="16"/>
      <c r="H287" s="16"/>
      <c r="I287" s="16"/>
      <c r="J287" s="16"/>
      <c r="K287" s="16"/>
      <c r="L287" s="16"/>
      <c r="M287" s="15"/>
      <c r="N287" s="16"/>
      <c r="O287" s="16"/>
      <c r="P287" s="16"/>
      <c r="Q287" s="16"/>
      <c r="R287" s="16"/>
      <c r="S287" s="16"/>
      <c r="T287" s="16"/>
      <c r="U287" s="16"/>
      <c r="V287" s="16"/>
    </row>
    <row r="288" spans="1:22" ht="13.2">
      <c r="A288" s="12"/>
      <c r="B288" s="46"/>
      <c r="C288" s="12"/>
      <c r="D288" s="15"/>
      <c r="E288" s="15"/>
      <c r="F288" s="15"/>
      <c r="G288" s="16"/>
      <c r="H288" s="16"/>
      <c r="I288" s="16"/>
      <c r="J288" s="16"/>
      <c r="K288" s="16"/>
      <c r="L288" s="16"/>
      <c r="M288" s="15"/>
      <c r="N288" s="16"/>
      <c r="O288" s="16"/>
      <c r="P288" s="16"/>
      <c r="Q288" s="16"/>
      <c r="R288" s="16"/>
      <c r="S288" s="16"/>
      <c r="T288" s="16"/>
      <c r="U288" s="16"/>
      <c r="V288" s="16"/>
    </row>
    <row r="289" spans="1:22" ht="13.2">
      <c r="A289" s="12"/>
      <c r="B289" s="46"/>
      <c r="C289" s="12"/>
      <c r="D289" s="15"/>
      <c r="E289" s="15"/>
      <c r="F289" s="15"/>
      <c r="G289" s="16"/>
      <c r="H289" s="16"/>
      <c r="I289" s="16"/>
      <c r="J289" s="16"/>
      <c r="K289" s="16"/>
      <c r="L289" s="16"/>
      <c r="M289" s="15"/>
      <c r="N289" s="16"/>
      <c r="O289" s="16"/>
      <c r="P289" s="16"/>
      <c r="Q289" s="16"/>
      <c r="R289" s="16"/>
      <c r="S289" s="16"/>
      <c r="T289" s="16"/>
      <c r="U289" s="16"/>
      <c r="V289" s="16"/>
    </row>
    <row r="290" spans="1:22" ht="13.2">
      <c r="A290" s="12"/>
      <c r="B290" s="46"/>
      <c r="C290" s="12"/>
      <c r="D290" s="15"/>
      <c r="E290" s="15"/>
      <c r="F290" s="15"/>
      <c r="G290" s="16"/>
      <c r="H290" s="16"/>
      <c r="I290" s="16"/>
      <c r="J290" s="16"/>
      <c r="K290" s="16"/>
      <c r="L290" s="16"/>
      <c r="M290" s="15"/>
      <c r="N290" s="16"/>
      <c r="O290" s="16"/>
      <c r="P290" s="16"/>
      <c r="Q290" s="16"/>
      <c r="R290" s="16"/>
      <c r="S290" s="16"/>
      <c r="T290" s="16"/>
      <c r="U290" s="16"/>
      <c r="V290" s="16"/>
    </row>
    <row r="291" spans="1:22" ht="13.2">
      <c r="A291" s="12"/>
      <c r="B291" s="46"/>
      <c r="C291" s="12"/>
      <c r="D291" s="15"/>
      <c r="E291" s="15"/>
      <c r="F291" s="15"/>
      <c r="G291" s="16"/>
      <c r="H291" s="16"/>
      <c r="I291" s="16"/>
      <c r="J291" s="16"/>
      <c r="K291" s="16"/>
      <c r="L291" s="16"/>
      <c r="M291" s="15"/>
      <c r="N291" s="16"/>
      <c r="O291" s="16"/>
      <c r="P291" s="16"/>
      <c r="Q291" s="16"/>
      <c r="R291" s="16"/>
      <c r="S291" s="16"/>
      <c r="T291" s="16"/>
      <c r="U291" s="16"/>
      <c r="V291" s="16"/>
    </row>
    <row r="292" spans="1:22" ht="13.2">
      <c r="A292" s="12"/>
      <c r="B292" s="46"/>
      <c r="C292" s="12"/>
      <c r="D292" s="15"/>
      <c r="E292" s="15"/>
      <c r="F292" s="15"/>
      <c r="G292" s="16"/>
      <c r="H292" s="16"/>
      <c r="I292" s="16"/>
      <c r="J292" s="16"/>
      <c r="K292" s="16"/>
      <c r="L292" s="16"/>
      <c r="M292" s="15"/>
      <c r="N292" s="16"/>
      <c r="O292" s="16"/>
      <c r="P292" s="16"/>
      <c r="Q292" s="16"/>
      <c r="R292" s="16"/>
      <c r="S292" s="16"/>
      <c r="T292" s="16"/>
      <c r="U292" s="16"/>
      <c r="V292" s="16"/>
    </row>
    <row r="293" spans="1:22" ht="13.2">
      <c r="A293" s="12"/>
      <c r="B293" s="46"/>
      <c r="C293" s="12"/>
      <c r="D293" s="15"/>
      <c r="E293" s="15"/>
      <c r="F293" s="15"/>
      <c r="G293" s="16"/>
      <c r="H293" s="16"/>
      <c r="I293" s="16"/>
      <c r="J293" s="16"/>
      <c r="K293" s="16"/>
      <c r="L293" s="16"/>
      <c r="M293" s="15"/>
      <c r="N293" s="16"/>
      <c r="O293" s="16"/>
      <c r="P293" s="16"/>
      <c r="Q293" s="16"/>
      <c r="R293" s="16"/>
      <c r="S293" s="16"/>
      <c r="T293" s="16"/>
      <c r="U293" s="16"/>
      <c r="V293" s="16"/>
    </row>
    <row r="294" spans="1:22" ht="13.2">
      <c r="A294" s="12"/>
      <c r="B294" s="46"/>
      <c r="C294" s="12"/>
      <c r="D294" s="15"/>
      <c r="E294" s="15"/>
      <c r="F294" s="15"/>
      <c r="G294" s="16"/>
      <c r="H294" s="16"/>
      <c r="I294" s="16"/>
      <c r="J294" s="16"/>
      <c r="K294" s="16"/>
      <c r="L294" s="16"/>
      <c r="M294" s="15"/>
      <c r="N294" s="16"/>
      <c r="O294" s="16"/>
      <c r="P294" s="16"/>
      <c r="Q294" s="16"/>
      <c r="R294" s="16"/>
      <c r="S294" s="16"/>
      <c r="T294" s="16"/>
      <c r="U294" s="16"/>
      <c r="V294" s="16"/>
    </row>
    <row r="295" spans="1:22" ht="13.2">
      <c r="A295" s="12"/>
      <c r="B295" s="46"/>
      <c r="C295" s="12"/>
      <c r="D295" s="15"/>
      <c r="E295" s="15"/>
      <c r="F295" s="15"/>
      <c r="G295" s="16"/>
      <c r="H295" s="16"/>
      <c r="I295" s="16"/>
      <c r="J295" s="16"/>
      <c r="K295" s="16"/>
      <c r="L295" s="16"/>
      <c r="M295" s="15"/>
      <c r="N295" s="16"/>
      <c r="O295" s="16"/>
      <c r="P295" s="16"/>
      <c r="Q295" s="16"/>
      <c r="R295" s="16"/>
      <c r="S295" s="16"/>
      <c r="T295" s="16"/>
      <c r="U295" s="16"/>
      <c r="V295" s="16"/>
    </row>
    <row r="296" spans="1:22" ht="13.2">
      <c r="A296" s="12"/>
      <c r="B296" s="46"/>
      <c r="C296" s="12"/>
      <c r="D296" s="15"/>
      <c r="E296" s="15"/>
      <c r="F296" s="15"/>
      <c r="G296" s="16"/>
      <c r="H296" s="16"/>
      <c r="I296" s="16"/>
      <c r="J296" s="16"/>
      <c r="K296" s="16"/>
      <c r="L296" s="16"/>
      <c r="M296" s="15"/>
      <c r="N296" s="16"/>
      <c r="O296" s="16"/>
      <c r="P296" s="16"/>
      <c r="Q296" s="16"/>
      <c r="R296" s="16"/>
      <c r="S296" s="16"/>
      <c r="T296" s="16"/>
      <c r="U296" s="16"/>
      <c r="V296" s="16"/>
    </row>
    <row r="297" spans="1:22" ht="13.2">
      <c r="A297" s="12"/>
      <c r="B297" s="46"/>
      <c r="C297" s="12"/>
      <c r="D297" s="15"/>
      <c r="E297" s="15"/>
      <c r="F297" s="15"/>
      <c r="G297" s="16"/>
      <c r="H297" s="16"/>
      <c r="I297" s="16"/>
      <c r="J297" s="16"/>
      <c r="K297" s="16"/>
      <c r="L297" s="16"/>
      <c r="M297" s="15"/>
      <c r="N297" s="16"/>
      <c r="O297" s="16"/>
      <c r="P297" s="16"/>
      <c r="Q297" s="16"/>
      <c r="R297" s="16"/>
      <c r="S297" s="16"/>
      <c r="T297" s="16"/>
      <c r="U297" s="16"/>
      <c r="V297" s="16"/>
    </row>
    <row r="298" spans="1:22" ht="13.2">
      <c r="A298" s="12"/>
      <c r="B298" s="46"/>
      <c r="C298" s="12"/>
      <c r="D298" s="15"/>
      <c r="E298" s="15"/>
      <c r="F298" s="15"/>
      <c r="G298" s="16"/>
      <c r="H298" s="16"/>
      <c r="I298" s="16"/>
      <c r="J298" s="16"/>
      <c r="K298" s="16"/>
      <c r="L298" s="16"/>
      <c r="M298" s="15"/>
      <c r="N298" s="16"/>
      <c r="O298" s="16"/>
      <c r="P298" s="16"/>
      <c r="Q298" s="16"/>
      <c r="R298" s="16"/>
      <c r="S298" s="16"/>
      <c r="T298" s="16"/>
      <c r="U298" s="16"/>
      <c r="V298" s="16"/>
    </row>
    <row r="299" spans="1:22" ht="13.2">
      <c r="A299" s="12"/>
      <c r="B299" s="46"/>
      <c r="C299" s="12"/>
      <c r="D299" s="15"/>
      <c r="E299" s="15"/>
      <c r="F299" s="15"/>
      <c r="G299" s="16"/>
      <c r="H299" s="16"/>
      <c r="I299" s="16"/>
      <c r="J299" s="16"/>
      <c r="K299" s="16"/>
      <c r="L299" s="16"/>
      <c r="M299" s="15"/>
      <c r="N299" s="16"/>
      <c r="O299" s="16"/>
      <c r="P299" s="16"/>
      <c r="Q299" s="16"/>
      <c r="R299" s="16"/>
      <c r="S299" s="16"/>
      <c r="T299" s="16"/>
      <c r="U299" s="16"/>
      <c r="V299" s="16"/>
    </row>
    <row r="300" spans="1:22" ht="13.2">
      <c r="A300" s="12"/>
      <c r="B300" s="46"/>
      <c r="C300" s="12"/>
      <c r="D300" s="15"/>
      <c r="E300" s="15"/>
      <c r="F300" s="15"/>
      <c r="G300" s="16"/>
      <c r="H300" s="16"/>
      <c r="I300" s="16"/>
      <c r="J300" s="16"/>
      <c r="K300" s="16"/>
      <c r="L300" s="16"/>
      <c r="M300" s="15"/>
      <c r="N300" s="16"/>
      <c r="O300" s="16"/>
      <c r="P300" s="16"/>
      <c r="Q300" s="16"/>
      <c r="R300" s="16"/>
      <c r="S300" s="16"/>
      <c r="T300" s="16"/>
      <c r="U300" s="16"/>
      <c r="V300" s="16"/>
    </row>
    <row r="301" spans="1:22" ht="13.2">
      <c r="A301" s="12"/>
      <c r="B301" s="46"/>
      <c r="C301" s="12"/>
      <c r="D301" s="15"/>
      <c r="E301" s="15"/>
      <c r="F301" s="15"/>
      <c r="G301" s="16"/>
      <c r="H301" s="16"/>
      <c r="I301" s="16"/>
      <c r="J301" s="16"/>
      <c r="K301" s="16"/>
      <c r="L301" s="16"/>
      <c r="M301" s="15"/>
      <c r="N301" s="16"/>
      <c r="O301" s="16"/>
      <c r="P301" s="16"/>
      <c r="Q301" s="16"/>
      <c r="R301" s="16"/>
      <c r="S301" s="16"/>
      <c r="T301" s="16"/>
      <c r="U301" s="16"/>
      <c r="V301" s="16"/>
    </row>
    <row r="302" spans="1:22" ht="13.2">
      <c r="A302" s="12"/>
      <c r="B302" s="46"/>
      <c r="C302" s="12"/>
      <c r="D302" s="15"/>
      <c r="E302" s="15"/>
      <c r="F302" s="15"/>
      <c r="G302" s="16"/>
      <c r="H302" s="16"/>
      <c r="I302" s="16"/>
      <c r="J302" s="16"/>
      <c r="K302" s="16"/>
      <c r="L302" s="16"/>
      <c r="M302" s="15"/>
      <c r="N302" s="16"/>
      <c r="O302" s="16"/>
      <c r="P302" s="16"/>
      <c r="Q302" s="16"/>
      <c r="R302" s="16"/>
      <c r="S302" s="16"/>
      <c r="T302" s="16"/>
      <c r="U302" s="16"/>
      <c r="V302" s="16"/>
    </row>
    <row r="303" spans="1:22" ht="13.2">
      <c r="A303" s="12"/>
      <c r="B303" s="46"/>
      <c r="C303" s="12"/>
      <c r="D303" s="15"/>
      <c r="E303" s="15"/>
      <c r="F303" s="15"/>
      <c r="G303" s="16"/>
      <c r="H303" s="16"/>
      <c r="I303" s="16"/>
      <c r="J303" s="16"/>
      <c r="K303" s="16"/>
      <c r="L303" s="16"/>
      <c r="M303" s="15"/>
      <c r="N303" s="16"/>
      <c r="O303" s="16"/>
      <c r="P303" s="16"/>
      <c r="Q303" s="16"/>
      <c r="R303" s="16"/>
      <c r="S303" s="16"/>
      <c r="T303" s="16"/>
      <c r="U303" s="16"/>
      <c r="V303" s="16"/>
    </row>
    <row r="304" spans="1:22" ht="13.2">
      <c r="A304" s="12"/>
      <c r="B304" s="46"/>
      <c r="C304" s="12"/>
      <c r="D304" s="15"/>
      <c r="E304" s="15"/>
      <c r="F304" s="15"/>
      <c r="G304" s="16"/>
      <c r="H304" s="16"/>
      <c r="I304" s="16"/>
      <c r="J304" s="16"/>
      <c r="K304" s="16"/>
      <c r="L304" s="16"/>
      <c r="M304" s="15"/>
      <c r="N304" s="16"/>
      <c r="O304" s="16"/>
      <c r="P304" s="16"/>
      <c r="Q304" s="16"/>
      <c r="R304" s="16"/>
      <c r="S304" s="16"/>
      <c r="T304" s="16"/>
      <c r="U304" s="16"/>
      <c r="V304" s="16"/>
    </row>
    <row r="305" spans="1:22" ht="13.2">
      <c r="A305" s="12"/>
      <c r="B305" s="46"/>
      <c r="C305" s="12"/>
      <c r="D305" s="15"/>
      <c r="E305" s="15"/>
      <c r="F305" s="15"/>
      <c r="G305" s="16"/>
      <c r="H305" s="16"/>
      <c r="I305" s="16"/>
      <c r="J305" s="16"/>
      <c r="K305" s="16"/>
      <c r="L305" s="16"/>
      <c r="M305" s="15"/>
      <c r="N305" s="16"/>
      <c r="O305" s="16"/>
      <c r="P305" s="16"/>
      <c r="Q305" s="16"/>
      <c r="R305" s="16"/>
      <c r="S305" s="16"/>
      <c r="T305" s="16"/>
      <c r="U305" s="16"/>
      <c r="V305" s="16"/>
    </row>
    <row r="306" spans="1:22" ht="13.2">
      <c r="A306" s="12"/>
      <c r="B306" s="46"/>
      <c r="C306" s="12"/>
      <c r="D306" s="15"/>
      <c r="E306" s="15"/>
      <c r="F306" s="15"/>
      <c r="G306" s="16"/>
      <c r="H306" s="16"/>
      <c r="I306" s="16"/>
      <c r="J306" s="16"/>
      <c r="K306" s="16"/>
      <c r="L306" s="16"/>
      <c r="M306" s="15"/>
      <c r="N306" s="16"/>
      <c r="O306" s="16"/>
      <c r="P306" s="16"/>
      <c r="Q306" s="16"/>
      <c r="R306" s="16"/>
      <c r="S306" s="16"/>
      <c r="T306" s="16"/>
      <c r="U306" s="16"/>
      <c r="V306" s="16"/>
    </row>
    <row r="307" spans="1:22" ht="13.2">
      <c r="A307" s="12"/>
      <c r="B307" s="46"/>
      <c r="C307" s="12"/>
      <c r="D307" s="15"/>
      <c r="E307" s="15"/>
      <c r="F307" s="15"/>
      <c r="G307" s="16"/>
      <c r="H307" s="16"/>
      <c r="I307" s="16"/>
      <c r="J307" s="16"/>
      <c r="K307" s="16"/>
      <c r="L307" s="16"/>
      <c r="M307" s="15"/>
      <c r="N307" s="16"/>
      <c r="O307" s="16"/>
      <c r="P307" s="16"/>
      <c r="Q307" s="16"/>
      <c r="R307" s="16"/>
      <c r="S307" s="16"/>
      <c r="T307" s="16"/>
      <c r="U307" s="16"/>
      <c r="V307" s="16"/>
    </row>
    <row r="308" spans="1:22" ht="13.2">
      <c r="A308" s="12"/>
      <c r="B308" s="46"/>
      <c r="C308" s="12"/>
      <c r="D308" s="15"/>
      <c r="E308" s="15"/>
      <c r="F308" s="15"/>
      <c r="G308" s="16"/>
      <c r="H308" s="16"/>
      <c r="I308" s="16"/>
      <c r="J308" s="16"/>
      <c r="K308" s="16"/>
      <c r="L308" s="16"/>
      <c r="M308" s="15"/>
      <c r="N308" s="16"/>
      <c r="O308" s="16"/>
      <c r="P308" s="16"/>
      <c r="Q308" s="16"/>
      <c r="R308" s="16"/>
      <c r="S308" s="16"/>
      <c r="T308" s="16"/>
      <c r="U308" s="16"/>
      <c r="V308" s="16"/>
    </row>
    <row r="309" spans="1:22" ht="13.2">
      <c r="A309" s="12"/>
      <c r="B309" s="46"/>
      <c r="C309" s="12"/>
      <c r="D309" s="15"/>
      <c r="E309" s="15"/>
      <c r="F309" s="15"/>
      <c r="G309" s="16"/>
      <c r="H309" s="16"/>
      <c r="I309" s="16"/>
      <c r="J309" s="16"/>
      <c r="K309" s="16"/>
      <c r="L309" s="16"/>
      <c r="M309" s="15"/>
      <c r="N309" s="16"/>
      <c r="O309" s="16"/>
      <c r="P309" s="16"/>
      <c r="Q309" s="16"/>
      <c r="R309" s="16"/>
      <c r="S309" s="16"/>
      <c r="T309" s="16"/>
      <c r="U309" s="16"/>
      <c r="V309" s="16"/>
    </row>
    <row r="310" spans="1:22" ht="13.2">
      <c r="A310" s="12"/>
      <c r="B310" s="46"/>
      <c r="C310" s="12"/>
      <c r="D310" s="15"/>
      <c r="E310" s="15"/>
      <c r="F310" s="15"/>
      <c r="G310" s="16"/>
      <c r="H310" s="16"/>
      <c r="I310" s="16"/>
      <c r="J310" s="16"/>
      <c r="K310" s="16"/>
      <c r="L310" s="16"/>
      <c r="M310" s="15"/>
      <c r="N310" s="16"/>
      <c r="O310" s="16"/>
      <c r="P310" s="16"/>
      <c r="Q310" s="16"/>
      <c r="R310" s="16"/>
      <c r="S310" s="16"/>
      <c r="T310" s="16"/>
      <c r="U310" s="16"/>
      <c r="V310" s="16"/>
    </row>
    <row r="311" spans="1:22" ht="13.2">
      <c r="A311" s="12"/>
      <c r="B311" s="46"/>
      <c r="C311" s="12"/>
      <c r="D311" s="15"/>
      <c r="E311" s="15"/>
      <c r="F311" s="15"/>
      <c r="G311" s="16"/>
      <c r="H311" s="16"/>
      <c r="I311" s="16"/>
      <c r="J311" s="16"/>
      <c r="K311" s="16"/>
      <c r="L311" s="16"/>
      <c r="M311" s="15"/>
      <c r="N311" s="16"/>
      <c r="O311" s="16"/>
      <c r="P311" s="16"/>
      <c r="Q311" s="16"/>
      <c r="R311" s="16"/>
      <c r="S311" s="16"/>
      <c r="T311" s="16"/>
      <c r="U311" s="16"/>
      <c r="V311" s="16"/>
    </row>
    <row r="312" spans="1:22" ht="13.2">
      <c r="A312" s="12"/>
      <c r="B312" s="46"/>
      <c r="C312" s="12"/>
      <c r="D312" s="15"/>
      <c r="E312" s="15"/>
      <c r="F312" s="15"/>
      <c r="G312" s="16"/>
      <c r="H312" s="16"/>
      <c r="I312" s="16"/>
      <c r="J312" s="16"/>
      <c r="K312" s="16"/>
      <c r="L312" s="16"/>
      <c r="M312" s="15"/>
      <c r="N312" s="16"/>
      <c r="O312" s="16"/>
      <c r="P312" s="16"/>
      <c r="Q312" s="16"/>
      <c r="R312" s="16"/>
      <c r="S312" s="16"/>
      <c r="T312" s="16"/>
      <c r="U312" s="16"/>
      <c r="V312" s="16"/>
    </row>
    <row r="313" spans="1:22" ht="13.2">
      <c r="A313" s="12"/>
      <c r="B313" s="46"/>
      <c r="C313" s="12"/>
      <c r="D313" s="15"/>
      <c r="E313" s="15"/>
      <c r="F313" s="15"/>
      <c r="G313" s="16"/>
      <c r="H313" s="16"/>
      <c r="I313" s="16"/>
      <c r="J313" s="16"/>
      <c r="K313" s="16"/>
      <c r="L313" s="16"/>
      <c r="M313" s="15"/>
      <c r="N313" s="16"/>
      <c r="O313" s="16"/>
      <c r="P313" s="16"/>
      <c r="Q313" s="16"/>
      <c r="R313" s="16"/>
      <c r="S313" s="16"/>
      <c r="T313" s="16"/>
      <c r="U313" s="16"/>
      <c r="V313" s="16"/>
    </row>
    <row r="314" spans="1:22" ht="13.2">
      <c r="A314" s="12"/>
      <c r="B314" s="46"/>
      <c r="C314" s="12"/>
      <c r="D314" s="15"/>
      <c r="E314" s="15"/>
      <c r="F314" s="15"/>
      <c r="G314" s="16"/>
      <c r="H314" s="16"/>
      <c r="I314" s="16"/>
      <c r="J314" s="16"/>
      <c r="K314" s="16"/>
      <c r="L314" s="16"/>
      <c r="M314" s="15"/>
      <c r="N314" s="16"/>
      <c r="O314" s="16"/>
      <c r="P314" s="16"/>
      <c r="Q314" s="16"/>
      <c r="R314" s="16"/>
      <c r="S314" s="16"/>
      <c r="T314" s="16"/>
      <c r="U314" s="16"/>
      <c r="V314" s="16"/>
    </row>
    <row r="315" spans="1:22" ht="13.2">
      <c r="A315" s="12"/>
      <c r="B315" s="46"/>
      <c r="C315" s="12"/>
      <c r="D315" s="15"/>
      <c r="E315" s="15"/>
      <c r="F315" s="15"/>
      <c r="G315" s="16"/>
      <c r="H315" s="16"/>
      <c r="I315" s="16"/>
      <c r="J315" s="16"/>
      <c r="K315" s="16"/>
      <c r="L315" s="16"/>
      <c r="M315" s="15"/>
      <c r="N315" s="16"/>
      <c r="O315" s="16"/>
      <c r="P315" s="16"/>
      <c r="Q315" s="16"/>
      <c r="R315" s="16"/>
      <c r="S315" s="16"/>
      <c r="T315" s="16"/>
      <c r="U315" s="16"/>
      <c r="V315" s="16"/>
    </row>
    <row r="316" spans="1:22" ht="13.2">
      <c r="A316" s="12"/>
      <c r="B316" s="46"/>
      <c r="C316" s="12"/>
      <c r="D316" s="15"/>
      <c r="E316" s="15"/>
      <c r="F316" s="15"/>
      <c r="G316" s="16"/>
      <c r="H316" s="16"/>
      <c r="I316" s="16"/>
      <c r="J316" s="16"/>
      <c r="K316" s="16"/>
      <c r="L316" s="16"/>
      <c r="M316" s="15"/>
      <c r="N316" s="16"/>
      <c r="O316" s="16"/>
      <c r="P316" s="16"/>
      <c r="Q316" s="16"/>
      <c r="R316" s="16"/>
      <c r="S316" s="16"/>
      <c r="T316" s="16"/>
      <c r="U316" s="16"/>
      <c r="V316" s="16"/>
    </row>
    <row r="317" spans="1:22" ht="13.2">
      <c r="A317" s="12"/>
      <c r="B317" s="46"/>
      <c r="C317" s="12"/>
      <c r="D317" s="15"/>
      <c r="E317" s="15"/>
      <c r="F317" s="15"/>
      <c r="G317" s="16"/>
      <c r="H317" s="16"/>
      <c r="I317" s="16"/>
      <c r="J317" s="16"/>
      <c r="K317" s="16"/>
      <c r="L317" s="16"/>
      <c r="M317" s="15"/>
      <c r="N317" s="16"/>
      <c r="O317" s="16"/>
      <c r="P317" s="16"/>
      <c r="Q317" s="16"/>
      <c r="R317" s="16"/>
      <c r="S317" s="16"/>
      <c r="T317" s="16"/>
      <c r="U317" s="16"/>
      <c r="V317" s="16"/>
    </row>
    <row r="318" spans="1:22" ht="13.2">
      <c r="A318" s="12"/>
      <c r="B318" s="46"/>
      <c r="C318" s="12"/>
      <c r="D318" s="15"/>
      <c r="E318" s="15"/>
      <c r="F318" s="15"/>
      <c r="G318" s="16"/>
      <c r="H318" s="16"/>
      <c r="I318" s="16"/>
      <c r="J318" s="16"/>
      <c r="K318" s="16"/>
      <c r="L318" s="16"/>
      <c r="M318" s="15"/>
      <c r="N318" s="16"/>
      <c r="O318" s="16"/>
      <c r="P318" s="16"/>
      <c r="Q318" s="16"/>
      <c r="R318" s="16"/>
      <c r="S318" s="16"/>
      <c r="T318" s="16"/>
      <c r="U318" s="16"/>
      <c r="V318" s="16"/>
    </row>
    <row r="319" spans="1:22" ht="13.2">
      <c r="A319" s="12"/>
      <c r="B319" s="46"/>
      <c r="C319" s="12"/>
      <c r="D319" s="15"/>
      <c r="E319" s="15"/>
      <c r="F319" s="15"/>
      <c r="G319" s="16"/>
      <c r="H319" s="16"/>
      <c r="I319" s="16"/>
      <c r="J319" s="16"/>
      <c r="K319" s="16"/>
      <c r="L319" s="16"/>
      <c r="M319" s="15"/>
      <c r="N319" s="16"/>
      <c r="O319" s="16"/>
      <c r="P319" s="16"/>
      <c r="Q319" s="16"/>
      <c r="R319" s="16"/>
      <c r="S319" s="16"/>
      <c r="T319" s="16"/>
      <c r="U319" s="16"/>
      <c r="V319" s="16"/>
    </row>
    <row r="320" spans="1:22" ht="13.2">
      <c r="A320" s="12"/>
      <c r="B320" s="46"/>
      <c r="C320" s="12"/>
      <c r="D320" s="15"/>
      <c r="E320" s="15"/>
      <c r="F320" s="15"/>
      <c r="G320" s="16"/>
      <c r="H320" s="16"/>
      <c r="I320" s="16"/>
      <c r="J320" s="16"/>
      <c r="K320" s="16"/>
      <c r="L320" s="16"/>
      <c r="M320" s="15"/>
      <c r="N320" s="16"/>
      <c r="O320" s="16"/>
      <c r="P320" s="16"/>
      <c r="Q320" s="16"/>
      <c r="R320" s="16"/>
      <c r="S320" s="16"/>
      <c r="T320" s="16"/>
      <c r="U320" s="16"/>
      <c r="V320" s="16"/>
    </row>
    <row r="321" spans="1:22" ht="13.2">
      <c r="A321" s="12"/>
      <c r="B321" s="46"/>
      <c r="C321" s="12"/>
      <c r="D321" s="15"/>
      <c r="E321" s="15"/>
      <c r="F321" s="15"/>
      <c r="G321" s="16"/>
      <c r="H321" s="16"/>
      <c r="I321" s="16"/>
      <c r="J321" s="16"/>
      <c r="K321" s="16"/>
      <c r="L321" s="16"/>
      <c r="M321" s="15"/>
      <c r="N321" s="16"/>
      <c r="O321" s="16"/>
      <c r="P321" s="16"/>
      <c r="Q321" s="16"/>
      <c r="R321" s="16"/>
      <c r="S321" s="16"/>
      <c r="T321" s="16"/>
      <c r="U321" s="16"/>
      <c r="V321" s="16"/>
    </row>
    <row r="322" spans="1:22" ht="13.2">
      <c r="A322" s="12"/>
      <c r="B322" s="46"/>
      <c r="C322" s="12"/>
      <c r="D322" s="15"/>
      <c r="E322" s="15"/>
      <c r="F322" s="15"/>
      <c r="G322" s="16"/>
      <c r="H322" s="16"/>
      <c r="I322" s="16"/>
      <c r="J322" s="16"/>
      <c r="K322" s="16"/>
      <c r="L322" s="16"/>
      <c r="M322" s="15"/>
      <c r="N322" s="16"/>
      <c r="O322" s="16"/>
      <c r="P322" s="16"/>
      <c r="Q322" s="16"/>
      <c r="R322" s="16"/>
      <c r="S322" s="16"/>
      <c r="T322" s="16"/>
      <c r="U322" s="16"/>
      <c r="V322" s="16"/>
    </row>
    <row r="323" spans="1:22" ht="13.2">
      <c r="A323" s="12"/>
      <c r="B323" s="46"/>
      <c r="C323" s="12"/>
      <c r="D323" s="15"/>
      <c r="E323" s="15"/>
      <c r="F323" s="15"/>
      <c r="G323" s="16"/>
      <c r="H323" s="16"/>
      <c r="I323" s="16"/>
      <c r="J323" s="16"/>
      <c r="K323" s="16"/>
      <c r="L323" s="16"/>
      <c r="M323" s="15"/>
      <c r="N323" s="16"/>
      <c r="O323" s="16"/>
      <c r="P323" s="16"/>
      <c r="Q323" s="16"/>
      <c r="R323" s="16"/>
      <c r="S323" s="16"/>
      <c r="T323" s="16"/>
      <c r="U323" s="16"/>
      <c r="V323" s="16"/>
    </row>
    <row r="324" spans="1:22" ht="13.2">
      <c r="A324" s="12"/>
      <c r="B324" s="46"/>
      <c r="C324" s="12"/>
      <c r="D324" s="15"/>
      <c r="E324" s="15"/>
      <c r="F324" s="15"/>
      <c r="G324" s="16"/>
      <c r="H324" s="16"/>
      <c r="I324" s="16"/>
      <c r="J324" s="16"/>
      <c r="K324" s="16"/>
      <c r="L324" s="16"/>
      <c r="M324" s="15"/>
      <c r="N324" s="16"/>
      <c r="O324" s="16"/>
      <c r="P324" s="16"/>
      <c r="Q324" s="16"/>
      <c r="R324" s="16"/>
      <c r="S324" s="16"/>
      <c r="T324" s="16"/>
      <c r="U324" s="16"/>
      <c r="V324" s="16"/>
    </row>
    <row r="325" spans="1:22" ht="13.2">
      <c r="A325" s="12"/>
      <c r="B325" s="46"/>
      <c r="C325" s="12"/>
      <c r="D325" s="15"/>
      <c r="E325" s="15"/>
      <c r="F325" s="15"/>
      <c r="G325" s="16"/>
      <c r="H325" s="16"/>
      <c r="I325" s="16"/>
      <c r="J325" s="16"/>
      <c r="K325" s="16"/>
      <c r="L325" s="16"/>
      <c r="M325" s="15"/>
      <c r="N325" s="16"/>
      <c r="O325" s="16"/>
      <c r="P325" s="16"/>
      <c r="Q325" s="16"/>
      <c r="R325" s="16"/>
      <c r="S325" s="16"/>
      <c r="T325" s="16"/>
      <c r="U325" s="16"/>
      <c r="V325" s="16"/>
    </row>
    <row r="326" spans="1:22" ht="13.2">
      <c r="A326" s="12"/>
      <c r="B326" s="46"/>
      <c r="C326" s="12"/>
      <c r="D326" s="15"/>
      <c r="E326" s="15"/>
      <c r="F326" s="15"/>
      <c r="G326" s="16"/>
      <c r="H326" s="16"/>
      <c r="I326" s="16"/>
      <c r="J326" s="16"/>
      <c r="K326" s="16"/>
      <c r="L326" s="16"/>
      <c r="M326" s="15"/>
      <c r="N326" s="16"/>
      <c r="O326" s="16"/>
      <c r="P326" s="16"/>
      <c r="Q326" s="16"/>
      <c r="R326" s="16"/>
      <c r="S326" s="16"/>
      <c r="T326" s="16"/>
      <c r="U326" s="16"/>
      <c r="V326" s="16"/>
    </row>
    <row r="327" spans="1:22" ht="13.2">
      <c r="A327" s="12"/>
      <c r="B327" s="46"/>
      <c r="C327" s="12"/>
      <c r="D327" s="15"/>
      <c r="E327" s="15"/>
      <c r="F327" s="15"/>
      <c r="G327" s="16"/>
      <c r="H327" s="16"/>
      <c r="I327" s="16"/>
      <c r="J327" s="16"/>
      <c r="K327" s="16"/>
      <c r="L327" s="16"/>
      <c r="M327" s="15"/>
      <c r="N327" s="16"/>
      <c r="O327" s="16"/>
      <c r="P327" s="16"/>
      <c r="Q327" s="16"/>
      <c r="R327" s="16"/>
      <c r="S327" s="16"/>
      <c r="T327" s="16"/>
      <c r="U327" s="16"/>
      <c r="V327" s="16"/>
    </row>
    <row r="328" spans="1:22" ht="13.2">
      <c r="A328" s="12"/>
      <c r="B328" s="46"/>
      <c r="C328" s="12"/>
      <c r="D328" s="15"/>
      <c r="E328" s="15"/>
      <c r="F328" s="15"/>
      <c r="G328" s="16"/>
      <c r="H328" s="16"/>
      <c r="I328" s="16"/>
      <c r="J328" s="16"/>
      <c r="K328" s="16"/>
      <c r="L328" s="16"/>
      <c r="M328" s="15"/>
      <c r="N328" s="16"/>
      <c r="O328" s="16"/>
      <c r="P328" s="16"/>
      <c r="Q328" s="16"/>
      <c r="R328" s="16"/>
      <c r="S328" s="16"/>
      <c r="T328" s="16"/>
      <c r="U328" s="16"/>
      <c r="V328" s="16"/>
    </row>
    <row r="329" spans="1:22" ht="13.2">
      <c r="A329" s="12"/>
      <c r="B329" s="46"/>
      <c r="C329" s="12"/>
      <c r="D329" s="15"/>
      <c r="E329" s="15"/>
      <c r="F329" s="15"/>
      <c r="G329" s="16"/>
      <c r="H329" s="16"/>
      <c r="I329" s="16"/>
      <c r="J329" s="16"/>
      <c r="K329" s="16"/>
      <c r="L329" s="16"/>
      <c r="M329" s="15"/>
      <c r="N329" s="16"/>
      <c r="O329" s="16"/>
      <c r="P329" s="16"/>
      <c r="Q329" s="16"/>
      <c r="R329" s="16"/>
      <c r="S329" s="16"/>
      <c r="T329" s="16"/>
      <c r="U329" s="16"/>
      <c r="V329" s="16"/>
    </row>
    <row r="330" spans="1:22" ht="13.2">
      <c r="A330" s="12"/>
      <c r="B330" s="46"/>
      <c r="C330" s="12"/>
      <c r="D330" s="15"/>
      <c r="E330" s="15"/>
      <c r="F330" s="15"/>
      <c r="G330" s="16"/>
      <c r="H330" s="16"/>
      <c r="I330" s="16"/>
      <c r="J330" s="16"/>
      <c r="K330" s="16"/>
      <c r="L330" s="16"/>
      <c r="M330" s="15"/>
      <c r="N330" s="16"/>
      <c r="O330" s="16"/>
      <c r="P330" s="16"/>
      <c r="Q330" s="16"/>
      <c r="R330" s="16"/>
      <c r="S330" s="16"/>
      <c r="T330" s="16"/>
      <c r="U330" s="16"/>
      <c r="V330" s="16"/>
    </row>
    <row r="331" spans="1:22" ht="13.2">
      <c r="A331" s="12"/>
      <c r="B331" s="46"/>
      <c r="C331" s="12"/>
      <c r="D331" s="15"/>
      <c r="E331" s="15"/>
      <c r="F331" s="15"/>
      <c r="G331" s="16"/>
      <c r="H331" s="16"/>
      <c r="I331" s="16"/>
      <c r="J331" s="16"/>
      <c r="K331" s="16"/>
      <c r="L331" s="16"/>
      <c r="M331" s="15"/>
      <c r="N331" s="16"/>
      <c r="O331" s="16"/>
      <c r="P331" s="16"/>
      <c r="Q331" s="16"/>
      <c r="R331" s="16"/>
      <c r="S331" s="16"/>
      <c r="T331" s="16"/>
      <c r="U331" s="16"/>
      <c r="V331" s="16"/>
    </row>
    <row r="332" spans="1:22" ht="13.2">
      <c r="A332" s="12"/>
      <c r="B332" s="46"/>
      <c r="C332" s="12"/>
      <c r="D332" s="15"/>
      <c r="E332" s="15"/>
      <c r="F332" s="15"/>
      <c r="G332" s="16"/>
      <c r="H332" s="16"/>
      <c r="I332" s="16"/>
      <c r="J332" s="16"/>
      <c r="K332" s="16"/>
      <c r="L332" s="16"/>
      <c r="M332" s="15"/>
      <c r="N332" s="16"/>
      <c r="O332" s="16"/>
      <c r="P332" s="16"/>
      <c r="Q332" s="16"/>
      <c r="R332" s="16"/>
      <c r="S332" s="16"/>
      <c r="T332" s="16"/>
      <c r="U332" s="16"/>
      <c r="V332" s="16"/>
    </row>
    <row r="333" spans="1:22" ht="13.2">
      <c r="A333" s="12"/>
      <c r="B333" s="46"/>
      <c r="C333" s="12"/>
      <c r="D333" s="15"/>
      <c r="E333" s="15"/>
      <c r="F333" s="15"/>
      <c r="G333" s="16"/>
      <c r="H333" s="16"/>
      <c r="I333" s="16"/>
      <c r="J333" s="16"/>
      <c r="K333" s="16"/>
      <c r="L333" s="16"/>
      <c r="M333" s="15"/>
      <c r="N333" s="16"/>
      <c r="O333" s="16"/>
      <c r="P333" s="16"/>
      <c r="Q333" s="16"/>
      <c r="R333" s="16"/>
      <c r="S333" s="16"/>
      <c r="T333" s="16"/>
      <c r="U333" s="16"/>
      <c r="V333" s="16"/>
    </row>
    <row r="334" spans="1:22" ht="13.2">
      <c r="A334" s="12"/>
      <c r="B334" s="46"/>
      <c r="C334" s="12"/>
      <c r="D334" s="15"/>
      <c r="E334" s="15"/>
      <c r="F334" s="15"/>
      <c r="G334" s="16"/>
      <c r="H334" s="16"/>
      <c r="I334" s="16"/>
      <c r="J334" s="16"/>
      <c r="K334" s="16"/>
      <c r="L334" s="16"/>
      <c r="M334" s="15"/>
      <c r="N334" s="16"/>
      <c r="O334" s="16"/>
      <c r="P334" s="16"/>
      <c r="Q334" s="16"/>
      <c r="R334" s="16"/>
      <c r="S334" s="16"/>
      <c r="T334" s="16"/>
      <c r="U334" s="16"/>
      <c r="V334" s="16"/>
    </row>
    <row r="335" spans="1:22" ht="13.2">
      <c r="A335" s="12"/>
      <c r="B335" s="46"/>
      <c r="C335" s="12"/>
      <c r="D335" s="15"/>
      <c r="E335" s="15"/>
      <c r="F335" s="15"/>
      <c r="G335" s="16"/>
      <c r="H335" s="16"/>
      <c r="I335" s="16"/>
      <c r="J335" s="16"/>
      <c r="K335" s="16"/>
      <c r="L335" s="16"/>
      <c r="M335" s="15"/>
      <c r="N335" s="16"/>
      <c r="O335" s="16"/>
      <c r="P335" s="16"/>
      <c r="Q335" s="16"/>
      <c r="R335" s="16"/>
      <c r="S335" s="16"/>
      <c r="T335" s="16"/>
      <c r="U335" s="16"/>
      <c r="V335" s="16"/>
    </row>
    <row r="336" spans="1:22" ht="13.2">
      <c r="A336" s="12"/>
      <c r="B336" s="46"/>
      <c r="C336" s="12"/>
      <c r="D336" s="15"/>
      <c r="E336" s="15"/>
      <c r="F336" s="15"/>
      <c r="G336" s="16"/>
      <c r="H336" s="16"/>
      <c r="I336" s="16"/>
      <c r="J336" s="16"/>
      <c r="K336" s="16"/>
      <c r="L336" s="16"/>
      <c r="M336" s="15"/>
      <c r="N336" s="16"/>
      <c r="O336" s="16"/>
      <c r="P336" s="16"/>
      <c r="Q336" s="16"/>
      <c r="R336" s="16"/>
      <c r="S336" s="16"/>
      <c r="T336" s="16"/>
      <c r="U336" s="16"/>
      <c r="V336" s="16"/>
    </row>
    <row r="337" spans="1:22" ht="13.2">
      <c r="A337" s="12"/>
      <c r="B337" s="46"/>
      <c r="C337" s="12"/>
      <c r="D337" s="15"/>
      <c r="E337" s="15"/>
      <c r="F337" s="15"/>
      <c r="G337" s="16"/>
      <c r="H337" s="16"/>
      <c r="I337" s="16"/>
      <c r="J337" s="16"/>
      <c r="K337" s="16"/>
      <c r="L337" s="16"/>
      <c r="M337" s="15"/>
      <c r="N337" s="16"/>
      <c r="O337" s="16"/>
      <c r="P337" s="16"/>
      <c r="Q337" s="16"/>
      <c r="R337" s="16"/>
      <c r="S337" s="16"/>
      <c r="T337" s="16"/>
      <c r="U337" s="16"/>
      <c r="V337" s="16"/>
    </row>
    <row r="338" spans="1:22" ht="13.2">
      <c r="A338" s="12"/>
      <c r="B338" s="46"/>
      <c r="C338" s="12"/>
      <c r="D338" s="15"/>
      <c r="E338" s="15"/>
      <c r="F338" s="15"/>
      <c r="G338" s="16"/>
      <c r="H338" s="16"/>
      <c r="I338" s="16"/>
      <c r="J338" s="16"/>
      <c r="K338" s="16"/>
      <c r="L338" s="16"/>
      <c r="M338" s="15"/>
      <c r="N338" s="16"/>
      <c r="O338" s="16"/>
      <c r="P338" s="16"/>
      <c r="Q338" s="16"/>
      <c r="R338" s="16"/>
      <c r="S338" s="16"/>
      <c r="T338" s="16"/>
      <c r="U338" s="16"/>
      <c r="V338" s="16"/>
    </row>
    <row r="339" spans="1:22" ht="13.2">
      <c r="A339" s="12"/>
      <c r="B339" s="46"/>
      <c r="C339" s="12"/>
      <c r="D339" s="15"/>
      <c r="E339" s="15"/>
      <c r="F339" s="15"/>
      <c r="G339" s="16"/>
      <c r="H339" s="16"/>
      <c r="I339" s="16"/>
      <c r="J339" s="16"/>
      <c r="K339" s="16"/>
      <c r="L339" s="16"/>
      <c r="M339" s="15"/>
      <c r="N339" s="16"/>
      <c r="O339" s="16"/>
      <c r="P339" s="16"/>
      <c r="Q339" s="16"/>
      <c r="R339" s="16"/>
      <c r="S339" s="16"/>
      <c r="T339" s="16"/>
      <c r="U339" s="16"/>
      <c r="V339" s="16"/>
    </row>
    <row r="340" spans="1:22" ht="13.2">
      <c r="A340" s="12"/>
      <c r="B340" s="46"/>
      <c r="C340" s="12"/>
      <c r="D340" s="15"/>
      <c r="E340" s="15"/>
      <c r="F340" s="15"/>
      <c r="G340" s="16"/>
      <c r="H340" s="16"/>
      <c r="I340" s="16"/>
      <c r="J340" s="16"/>
      <c r="K340" s="16"/>
      <c r="L340" s="16"/>
      <c r="M340" s="15"/>
      <c r="N340" s="16"/>
      <c r="O340" s="16"/>
      <c r="P340" s="16"/>
      <c r="Q340" s="16"/>
      <c r="R340" s="16"/>
      <c r="S340" s="16"/>
      <c r="T340" s="16"/>
      <c r="U340" s="16"/>
      <c r="V340" s="16"/>
    </row>
    <row r="341" spans="1:22" ht="13.2">
      <c r="A341" s="12"/>
      <c r="B341" s="46"/>
      <c r="C341" s="12"/>
      <c r="D341" s="15"/>
      <c r="E341" s="15"/>
      <c r="F341" s="15"/>
      <c r="G341" s="16"/>
      <c r="H341" s="16"/>
      <c r="I341" s="16"/>
      <c r="J341" s="16"/>
      <c r="K341" s="16"/>
      <c r="L341" s="16"/>
      <c r="M341" s="15"/>
      <c r="N341" s="16"/>
      <c r="O341" s="16"/>
      <c r="P341" s="16"/>
      <c r="Q341" s="16"/>
      <c r="R341" s="16"/>
      <c r="S341" s="16"/>
      <c r="T341" s="16"/>
      <c r="U341" s="16"/>
      <c r="V341" s="16"/>
    </row>
    <row r="342" spans="1:22" ht="13.2">
      <c r="A342" s="12"/>
      <c r="B342" s="46"/>
      <c r="C342" s="12"/>
      <c r="D342" s="15"/>
      <c r="E342" s="15"/>
      <c r="F342" s="15"/>
      <c r="G342" s="16"/>
      <c r="H342" s="16"/>
      <c r="I342" s="16"/>
      <c r="J342" s="16"/>
      <c r="K342" s="16"/>
      <c r="L342" s="16"/>
      <c r="M342" s="15"/>
      <c r="N342" s="16"/>
      <c r="O342" s="16"/>
      <c r="P342" s="16"/>
      <c r="Q342" s="16"/>
      <c r="R342" s="16"/>
      <c r="S342" s="16"/>
      <c r="T342" s="16"/>
      <c r="U342" s="16"/>
      <c r="V342" s="16"/>
    </row>
    <row r="343" spans="1:22" ht="13.2">
      <c r="A343" s="12"/>
      <c r="B343" s="46"/>
      <c r="C343" s="12"/>
      <c r="D343" s="15"/>
      <c r="E343" s="15"/>
      <c r="F343" s="15"/>
      <c r="G343" s="16"/>
      <c r="H343" s="16"/>
      <c r="I343" s="16"/>
      <c r="J343" s="16"/>
      <c r="K343" s="16"/>
      <c r="L343" s="16"/>
      <c r="M343" s="15"/>
      <c r="N343" s="16"/>
      <c r="O343" s="16"/>
      <c r="P343" s="16"/>
      <c r="Q343" s="16"/>
      <c r="R343" s="16"/>
      <c r="S343" s="16"/>
      <c r="T343" s="16"/>
      <c r="U343" s="16"/>
      <c r="V343" s="16"/>
    </row>
    <row r="344" spans="1:22" ht="13.2">
      <c r="A344" s="12"/>
      <c r="B344" s="46"/>
      <c r="C344" s="12"/>
      <c r="D344" s="15"/>
      <c r="E344" s="15"/>
      <c r="F344" s="15"/>
      <c r="G344" s="16"/>
      <c r="H344" s="16"/>
      <c r="I344" s="16"/>
      <c r="J344" s="16"/>
      <c r="K344" s="16"/>
      <c r="L344" s="16"/>
      <c r="M344" s="15"/>
      <c r="N344" s="16"/>
      <c r="O344" s="16"/>
      <c r="P344" s="16"/>
      <c r="Q344" s="16"/>
      <c r="R344" s="16"/>
      <c r="S344" s="16"/>
      <c r="T344" s="16"/>
      <c r="U344" s="16"/>
      <c r="V344" s="16"/>
    </row>
    <row r="345" spans="1:22" ht="13.2">
      <c r="A345" s="12"/>
      <c r="B345" s="46"/>
      <c r="C345" s="12"/>
      <c r="D345" s="15"/>
      <c r="E345" s="15"/>
      <c r="F345" s="15"/>
      <c r="G345" s="16"/>
      <c r="H345" s="16"/>
      <c r="I345" s="16"/>
      <c r="J345" s="16"/>
      <c r="K345" s="16"/>
      <c r="L345" s="16"/>
      <c r="M345" s="15"/>
      <c r="N345" s="16"/>
      <c r="O345" s="16"/>
      <c r="P345" s="16"/>
      <c r="Q345" s="16"/>
      <c r="R345" s="16"/>
      <c r="S345" s="16"/>
      <c r="T345" s="16"/>
      <c r="U345" s="16"/>
      <c r="V345" s="16"/>
    </row>
    <row r="346" spans="1:22" ht="13.2">
      <c r="A346" s="12"/>
      <c r="B346" s="46"/>
      <c r="C346" s="12"/>
      <c r="D346" s="15"/>
      <c r="E346" s="15"/>
      <c r="F346" s="15"/>
      <c r="G346" s="16"/>
      <c r="H346" s="16"/>
      <c r="I346" s="16"/>
      <c r="J346" s="16"/>
      <c r="K346" s="16"/>
      <c r="L346" s="16"/>
      <c r="M346" s="15"/>
      <c r="N346" s="16"/>
      <c r="O346" s="16"/>
      <c r="P346" s="16"/>
      <c r="Q346" s="16"/>
      <c r="R346" s="16"/>
      <c r="S346" s="16"/>
      <c r="T346" s="16"/>
      <c r="U346" s="16"/>
      <c r="V346" s="16"/>
    </row>
    <row r="347" spans="1:22" ht="13.2">
      <c r="A347" s="12"/>
      <c r="B347" s="46"/>
      <c r="C347" s="12"/>
      <c r="D347" s="15"/>
      <c r="E347" s="15"/>
      <c r="F347" s="15"/>
      <c r="G347" s="16"/>
      <c r="H347" s="16"/>
      <c r="I347" s="16"/>
      <c r="J347" s="16"/>
      <c r="K347" s="16"/>
      <c r="L347" s="16"/>
      <c r="M347" s="15"/>
      <c r="N347" s="16"/>
      <c r="O347" s="16"/>
      <c r="P347" s="16"/>
      <c r="Q347" s="16"/>
      <c r="R347" s="16"/>
      <c r="S347" s="16"/>
      <c r="T347" s="16"/>
      <c r="U347" s="16"/>
      <c r="V347" s="16"/>
    </row>
    <row r="348" spans="1:22" ht="13.2">
      <c r="A348" s="12"/>
      <c r="B348" s="46"/>
      <c r="C348" s="12"/>
      <c r="D348" s="15"/>
      <c r="E348" s="15"/>
      <c r="F348" s="15"/>
      <c r="G348" s="16"/>
      <c r="H348" s="16"/>
      <c r="I348" s="16"/>
      <c r="J348" s="16"/>
      <c r="K348" s="16"/>
      <c r="L348" s="16"/>
      <c r="M348" s="15"/>
      <c r="N348" s="16"/>
      <c r="O348" s="16"/>
      <c r="P348" s="16"/>
      <c r="Q348" s="16"/>
      <c r="R348" s="16"/>
      <c r="S348" s="16"/>
      <c r="T348" s="16"/>
      <c r="U348" s="16"/>
      <c r="V348" s="16"/>
    </row>
    <row r="349" spans="1:22" ht="13.2">
      <c r="A349" s="12"/>
      <c r="B349" s="46"/>
      <c r="C349" s="12"/>
      <c r="D349" s="15"/>
      <c r="E349" s="15"/>
      <c r="F349" s="15"/>
      <c r="G349" s="16"/>
      <c r="H349" s="16"/>
      <c r="I349" s="16"/>
      <c r="J349" s="16"/>
      <c r="K349" s="16"/>
      <c r="L349" s="16"/>
      <c r="M349" s="15"/>
      <c r="N349" s="16"/>
      <c r="O349" s="16"/>
      <c r="P349" s="16"/>
      <c r="Q349" s="16"/>
      <c r="R349" s="16"/>
      <c r="S349" s="16"/>
      <c r="T349" s="16"/>
      <c r="U349" s="16"/>
      <c r="V349" s="16"/>
    </row>
    <row r="350" spans="1:22" ht="13.2">
      <c r="A350" s="12"/>
      <c r="B350" s="46"/>
      <c r="C350" s="12"/>
      <c r="D350" s="15"/>
      <c r="E350" s="15"/>
      <c r="F350" s="15"/>
      <c r="G350" s="16"/>
      <c r="H350" s="16"/>
      <c r="I350" s="16"/>
      <c r="J350" s="16"/>
      <c r="K350" s="16"/>
      <c r="L350" s="16"/>
      <c r="M350" s="15"/>
      <c r="N350" s="16"/>
      <c r="O350" s="16"/>
      <c r="P350" s="16"/>
      <c r="Q350" s="16"/>
      <c r="R350" s="16"/>
      <c r="S350" s="16"/>
      <c r="T350" s="16"/>
      <c r="U350" s="16"/>
      <c r="V350" s="16"/>
    </row>
    <row r="351" spans="1:22" ht="13.2">
      <c r="A351" s="12"/>
      <c r="B351" s="46"/>
      <c r="C351" s="12"/>
      <c r="D351" s="15"/>
      <c r="E351" s="15"/>
      <c r="F351" s="15"/>
      <c r="G351" s="16"/>
      <c r="H351" s="16"/>
      <c r="I351" s="16"/>
      <c r="J351" s="16"/>
      <c r="K351" s="16"/>
      <c r="L351" s="16"/>
      <c r="M351" s="15"/>
      <c r="N351" s="16"/>
      <c r="O351" s="16"/>
      <c r="P351" s="16"/>
      <c r="Q351" s="16"/>
      <c r="R351" s="16"/>
      <c r="S351" s="16"/>
      <c r="T351" s="16"/>
      <c r="U351" s="16"/>
      <c r="V351" s="16"/>
    </row>
    <row r="352" spans="1:22" ht="13.2">
      <c r="A352" s="12"/>
      <c r="B352" s="46"/>
      <c r="C352" s="12"/>
      <c r="D352" s="15"/>
      <c r="E352" s="15"/>
      <c r="F352" s="15"/>
      <c r="G352" s="16"/>
      <c r="H352" s="16"/>
      <c r="I352" s="16"/>
      <c r="J352" s="16"/>
      <c r="K352" s="16"/>
      <c r="L352" s="16"/>
      <c r="M352" s="15"/>
      <c r="N352" s="16"/>
      <c r="O352" s="16"/>
      <c r="P352" s="16"/>
      <c r="Q352" s="16"/>
      <c r="R352" s="16"/>
      <c r="S352" s="16"/>
      <c r="T352" s="16"/>
      <c r="U352" s="16"/>
      <c r="V352" s="16"/>
    </row>
    <row r="353" spans="1:22" ht="13.2">
      <c r="A353" s="12"/>
      <c r="B353" s="46"/>
      <c r="C353" s="12"/>
      <c r="D353" s="15"/>
      <c r="E353" s="15"/>
      <c r="F353" s="15"/>
      <c r="G353" s="16"/>
      <c r="H353" s="16"/>
      <c r="I353" s="16"/>
      <c r="J353" s="16"/>
      <c r="K353" s="16"/>
      <c r="L353" s="16"/>
      <c r="M353" s="15"/>
      <c r="N353" s="16"/>
      <c r="O353" s="16"/>
      <c r="P353" s="16"/>
      <c r="Q353" s="16"/>
      <c r="R353" s="16"/>
      <c r="S353" s="16"/>
      <c r="T353" s="16"/>
      <c r="U353" s="16"/>
      <c r="V353" s="16"/>
    </row>
    <row r="354" spans="1:22" ht="13.2">
      <c r="A354" s="12"/>
      <c r="B354" s="46"/>
      <c r="C354" s="12"/>
      <c r="D354" s="15"/>
      <c r="E354" s="15"/>
      <c r="F354" s="15"/>
      <c r="G354" s="16"/>
      <c r="H354" s="16"/>
      <c r="I354" s="16"/>
      <c r="J354" s="16"/>
      <c r="K354" s="16"/>
      <c r="L354" s="16"/>
      <c r="M354" s="15"/>
      <c r="N354" s="16"/>
      <c r="O354" s="16"/>
      <c r="P354" s="16"/>
      <c r="Q354" s="16"/>
      <c r="R354" s="16"/>
      <c r="S354" s="16"/>
      <c r="T354" s="16"/>
      <c r="U354" s="16"/>
      <c r="V354" s="16"/>
    </row>
    <row r="355" spans="1:22" ht="13.2">
      <c r="A355" s="12"/>
      <c r="B355" s="46"/>
      <c r="C355" s="12"/>
      <c r="D355" s="15"/>
      <c r="E355" s="15"/>
      <c r="F355" s="15"/>
      <c r="G355" s="16"/>
      <c r="H355" s="16"/>
      <c r="I355" s="16"/>
      <c r="J355" s="16"/>
      <c r="K355" s="16"/>
      <c r="L355" s="16"/>
      <c r="M355" s="15"/>
      <c r="N355" s="16"/>
      <c r="O355" s="16"/>
      <c r="P355" s="16"/>
      <c r="Q355" s="16"/>
      <c r="R355" s="16"/>
      <c r="S355" s="16"/>
      <c r="T355" s="16"/>
      <c r="U355" s="16"/>
      <c r="V355" s="16"/>
    </row>
    <row r="356" spans="1:22" ht="13.2">
      <c r="A356" s="12"/>
      <c r="B356" s="46"/>
      <c r="C356" s="12"/>
      <c r="D356" s="15"/>
      <c r="E356" s="15"/>
      <c r="F356" s="15"/>
      <c r="G356" s="16"/>
      <c r="H356" s="16"/>
      <c r="I356" s="16"/>
      <c r="J356" s="16"/>
      <c r="K356" s="16"/>
      <c r="L356" s="16"/>
      <c r="M356" s="15"/>
      <c r="N356" s="16"/>
      <c r="O356" s="16"/>
      <c r="P356" s="16"/>
      <c r="Q356" s="16"/>
      <c r="R356" s="16"/>
      <c r="S356" s="16"/>
      <c r="T356" s="16"/>
      <c r="U356" s="16"/>
      <c r="V356" s="16"/>
    </row>
    <row r="357" spans="1:22" ht="13.2">
      <c r="A357" s="12"/>
      <c r="B357" s="46"/>
      <c r="C357" s="12"/>
      <c r="D357" s="15"/>
      <c r="E357" s="15"/>
      <c r="F357" s="15"/>
      <c r="G357" s="16"/>
      <c r="H357" s="16"/>
      <c r="I357" s="16"/>
      <c r="J357" s="16"/>
      <c r="K357" s="16"/>
      <c r="L357" s="16"/>
      <c r="M357" s="15"/>
      <c r="N357" s="16"/>
      <c r="O357" s="16"/>
      <c r="P357" s="16"/>
      <c r="Q357" s="16"/>
      <c r="R357" s="16"/>
      <c r="S357" s="16"/>
      <c r="T357" s="16"/>
      <c r="U357" s="16"/>
      <c r="V357" s="16"/>
    </row>
    <row r="358" spans="1:22" ht="13.2">
      <c r="A358" s="12"/>
      <c r="B358" s="46"/>
      <c r="C358" s="12"/>
      <c r="D358" s="15"/>
      <c r="E358" s="15"/>
      <c r="F358" s="15"/>
      <c r="G358" s="16"/>
      <c r="H358" s="16"/>
      <c r="I358" s="16"/>
      <c r="J358" s="16"/>
      <c r="K358" s="16"/>
      <c r="L358" s="16"/>
      <c r="M358" s="15"/>
      <c r="N358" s="16"/>
      <c r="O358" s="16"/>
      <c r="P358" s="16"/>
      <c r="Q358" s="16"/>
      <c r="R358" s="16"/>
      <c r="S358" s="16"/>
      <c r="T358" s="16"/>
      <c r="U358" s="16"/>
      <c r="V358" s="16"/>
    </row>
    <row r="359" spans="1:22" ht="13.2">
      <c r="A359" s="12"/>
      <c r="B359" s="46"/>
      <c r="C359" s="12"/>
      <c r="D359" s="15"/>
      <c r="E359" s="15"/>
      <c r="F359" s="15"/>
      <c r="G359" s="16"/>
      <c r="H359" s="16"/>
      <c r="I359" s="16"/>
      <c r="J359" s="16"/>
      <c r="K359" s="16"/>
      <c r="L359" s="16"/>
      <c r="M359" s="15"/>
      <c r="N359" s="16"/>
      <c r="O359" s="16"/>
      <c r="P359" s="16"/>
      <c r="Q359" s="16"/>
      <c r="R359" s="16"/>
      <c r="S359" s="16"/>
      <c r="T359" s="16"/>
      <c r="U359" s="16"/>
      <c r="V359" s="16"/>
    </row>
    <row r="360" spans="1:22" ht="13.2">
      <c r="A360" s="12"/>
      <c r="B360" s="46"/>
      <c r="C360" s="12"/>
      <c r="D360" s="15"/>
      <c r="E360" s="15"/>
      <c r="F360" s="15"/>
      <c r="G360" s="16"/>
      <c r="H360" s="16"/>
      <c r="I360" s="16"/>
      <c r="J360" s="16"/>
      <c r="K360" s="16"/>
      <c r="L360" s="16"/>
      <c r="M360" s="15"/>
      <c r="N360" s="16"/>
      <c r="O360" s="16"/>
      <c r="P360" s="16"/>
      <c r="Q360" s="16"/>
      <c r="R360" s="16"/>
      <c r="S360" s="16"/>
      <c r="T360" s="16"/>
      <c r="U360" s="16"/>
      <c r="V360" s="16"/>
    </row>
    <row r="361" spans="1:22" ht="13.2">
      <c r="A361" s="12"/>
      <c r="B361" s="46"/>
      <c r="C361" s="12"/>
      <c r="D361" s="15"/>
      <c r="E361" s="15"/>
      <c r="F361" s="15"/>
      <c r="G361" s="16"/>
      <c r="H361" s="16"/>
      <c r="I361" s="16"/>
      <c r="J361" s="16"/>
      <c r="K361" s="16"/>
      <c r="L361" s="16"/>
      <c r="M361" s="15"/>
      <c r="N361" s="16"/>
      <c r="O361" s="16"/>
      <c r="P361" s="16"/>
      <c r="Q361" s="16"/>
      <c r="R361" s="16"/>
      <c r="S361" s="16"/>
      <c r="T361" s="16"/>
      <c r="U361" s="16"/>
      <c r="V361" s="16"/>
    </row>
    <row r="362" spans="1:22" ht="13.2">
      <c r="A362" s="12"/>
      <c r="B362" s="46"/>
      <c r="C362" s="12"/>
      <c r="D362" s="15"/>
      <c r="E362" s="15"/>
      <c r="F362" s="15"/>
      <c r="G362" s="16"/>
      <c r="H362" s="16"/>
      <c r="I362" s="16"/>
      <c r="J362" s="16"/>
      <c r="K362" s="16"/>
      <c r="L362" s="16"/>
      <c r="M362" s="15"/>
      <c r="N362" s="16"/>
      <c r="O362" s="16"/>
      <c r="P362" s="16"/>
      <c r="Q362" s="16"/>
      <c r="R362" s="16"/>
      <c r="S362" s="16"/>
      <c r="T362" s="16"/>
      <c r="U362" s="16"/>
      <c r="V362" s="16"/>
    </row>
    <row r="363" spans="1:22" ht="13.2">
      <c r="A363" s="12"/>
      <c r="B363" s="46"/>
      <c r="C363" s="12"/>
      <c r="D363" s="15"/>
      <c r="E363" s="15"/>
      <c r="F363" s="15"/>
      <c r="G363" s="16"/>
      <c r="H363" s="16"/>
      <c r="I363" s="16"/>
      <c r="J363" s="16"/>
      <c r="K363" s="16"/>
      <c r="L363" s="16"/>
      <c r="M363" s="15"/>
      <c r="N363" s="16"/>
      <c r="O363" s="16"/>
      <c r="P363" s="16"/>
      <c r="Q363" s="16"/>
      <c r="R363" s="16"/>
      <c r="S363" s="16"/>
      <c r="T363" s="16"/>
      <c r="U363" s="16"/>
      <c r="V363" s="16"/>
    </row>
    <row r="364" spans="1:22" ht="13.2">
      <c r="A364" s="12"/>
      <c r="B364" s="46"/>
      <c r="C364" s="12"/>
      <c r="D364" s="15"/>
      <c r="E364" s="15"/>
      <c r="F364" s="15"/>
      <c r="G364" s="16"/>
      <c r="H364" s="16"/>
      <c r="I364" s="16"/>
      <c r="J364" s="16"/>
      <c r="K364" s="16"/>
      <c r="L364" s="16"/>
      <c r="M364" s="15"/>
      <c r="N364" s="16"/>
      <c r="O364" s="16"/>
      <c r="P364" s="16"/>
      <c r="Q364" s="16"/>
      <c r="R364" s="16"/>
      <c r="S364" s="16"/>
      <c r="T364" s="16"/>
      <c r="U364" s="16"/>
      <c r="V364" s="16"/>
    </row>
    <row r="365" spans="1:22" ht="13.2">
      <c r="A365" s="12"/>
      <c r="B365" s="46"/>
      <c r="C365" s="12"/>
      <c r="D365" s="15"/>
      <c r="E365" s="15"/>
      <c r="F365" s="15"/>
      <c r="G365" s="16"/>
      <c r="H365" s="16"/>
      <c r="I365" s="16"/>
      <c r="J365" s="16"/>
      <c r="K365" s="16"/>
      <c r="L365" s="16"/>
      <c r="M365" s="15"/>
      <c r="N365" s="16"/>
      <c r="O365" s="16"/>
      <c r="P365" s="16"/>
      <c r="Q365" s="16"/>
      <c r="R365" s="16"/>
      <c r="S365" s="16"/>
      <c r="T365" s="16"/>
      <c r="U365" s="16"/>
      <c r="V365" s="16"/>
    </row>
    <row r="366" spans="1:22" ht="13.2">
      <c r="A366" s="12"/>
      <c r="B366" s="46"/>
      <c r="C366" s="12"/>
      <c r="D366" s="15"/>
      <c r="E366" s="15"/>
      <c r="F366" s="15"/>
      <c r="G366" s="16"/>
      <c r="H366" s="16"/>
      <c r="I366" s="16"/>
      <c r="J366" s="16"/>
      <c r="K366" s="16"/>
      <c r="L366" s="16"/>
      <c r="M366" s="15"/>
      <c r="N366" s="16"/>
      <c r="O366" s="16"/>
      <c r="P366" s="16"/>
      <c r="Q366" s="16"/>
      <c r="R366" s="16"/>
      <c r="S366" s="16"/>
      <c r="T366" s="16"/>
      <c r="U366" s="16"/>
      <c r="V366" s="16"/>
    </row>
    <row r="367" spans="1:22" ht="13.2">
      <c r="A367" s="12"/>
      <c r="B367" s="46"/>
      <c r="C367" s="12"/>
      <c r="D367" s="15"/>
      <c r="E367" s="15"/>
      <c r="F367" s="15"/>
      <c r="G367" s="16"/>
      <c r="H367" s="16"/>
      <c r="I367" s="16"/>
      <c r="J367" s="16"/>
      <c r="K367" s="16"/>
      <c r="L367" s="16"/>
      <c r="M367" s="15"/>
      <c r="N367" s="16"/>
      <c r="O367" s="16"/>
      <c r="P367" s="16"/>
      <c r="Q367" s="16"/>
      <c r="R367" s="16"/>
      <c r="S367" s="16"/>
      <c r="T367" s="16"/>
      <c r="U367" s="16"/>
      <c r="V367" s="16"/>
    </row>
    <row r="368" spans="1:22" ht="13.2">
      <c r="A368" s="12"/>
      <c r="B368" s="46"/>
      <c r="C368" s="12"/>
      <c r="D368" s="15"/>
      <c r="E368" s="15"/>
      <c r="F368" s="15"/>
      <c r="G368" s="16"/>
      <c r="H368" s="16"/>
      <c r="I368" s="16"/>
      <c r="J368" s="16"/>
      <c r="K368" s="16"/>
      <c r="L368" s="16"/>
      <c r="M368" s="15"/>
      <c r="N368" s="16"/>
      <c r="O368" s="16"/>
      <c r="P368" s="16"/>
      <c r="Q368" s="16"/>
      <c r="R368" s="16"/>
      <c r="S368" s="16"/>
      <c r="T368" s="16"/>
      <c r="U368" s="16"/>
      <c r="V368" s="16"/>
    </row>
    <row r="369" spans="1:22" ht="13.2">
      <c r="A369" s="12"/>
      <c r="B369" s="46"/>
      <c r="C369" s="12"/>
      <c r="D369" s="15"/>
      <c r="E369" s="15"/>
      <c r="F369" s="15"/>
      <c r="G369" s="16"/>
      <c r="H369" s="16"/>
      <c r="I369" s="16"/>
      <c r="J369" s="16"/>
      <c r="K369" s="16"/>
      <c r="L369" s="16"/>
      <c r="M369" s="15"/>
      <c r="N369" s="16"/>
      <c r="O369" s="16"/>
      <c r="P369" s="16"/>
      <c r="Q369" s="16"/>
      <c r="R369" s="16"/>
      <c r="S369" s="16"/>
      <c r="T369" s="16"/>
      <c r="U369" s="16"/>
      <c r="V369" s="16"/>
    </row>
    <row r="370" spans="1:22" ht="13.2">
      <c r="A370" s="12"/>
      <c r="B370" s="46"/>
      <c r="C370" s="12"/>
      <c r="D370" s="15"/>
      <c r="E370" s="15"/>
      <c r="F370" s="15"/>
      <c r="G370" s="16"/>
      <c r="H370" s="16"/>
      <c r="I370" s="16"/>
      <c r="J370" s="16"/>
      <c r="K370" s="16"/>
      <c r="L370" s="16"/>
      <c r="M370" s="15"/>
      <c r="N370" s="16"/>
      <c r="O370" s="16"/>
      <c r="P370" s="16"/>
      <c r="Q370" s="16"/>
      <c r="R370" s="16"/>
      <c r="S370" s="16"/>
      <c r="T370" s="16"/>
      <c r="U370" s="16"/>
      <c r="V370" s="16"/>
    </row>
    <row r="371" spans="1:22" ht="13.2">
      <c r="A371" s="12"/>
      <c r="B371" s="46"/>
      <c r="C371" s="12"/>
      <c r="D371" s="15"/>
      <c r="E371" s="15"/>
      <c r="F371" s="15"/>
      <c r="G371" s="16"/>
      <c r="H371" s="16"/>
      <c r="I371" s="16"/>
      <c r="J371" s="16"/>
      <c r="K371" s="16"/>
      <c r="L371" s="16"/>
      <c r="M371" s="15"/>
      <c r="N371" s="16"/>
      <c r="O371" s="16"/>
      <c r="P371" s="16"/>
      <c r="Q371" s="16"/>
      <c r="R371" s="16"/>
      <c r="S371" s="16"/>
      <c r="T371" s="16"/>
      <c r="U371" s="16"/>
      <c r="V371" s="16"/>
    </row>
    <row r="372" spans="1:22" ht="13.2">
      <c r="A372" s="12"/>
      <c r="B372" s="46"/>
      <c r="C372" s="12"/>
      <c r="D372" s="15"/>
      <c r="E372" s="15"/>
      <c r="F372" s="15"/>
      <c r="G372" s="16"/>
      <c r="H372" s="16"/>
      <c r="I372" s="16"/>
      <c r="J372" s="16"/>
      <c r="K372" s="16"/>
      <c r="L372" s="16"/>
      <c r="M372" s="15"/>
      <c r="N372" s="16"/>
      <c r="O372" s="16"/>
      <c r="P372" s="16"/>
      <c r="Q372" s="16"/>
      <c r="R372" s="16"/>
      <c r="S372" s="16"/>
      <c r="T372" s="16"/>
      <c r="U372" s="16"/>
      <c r="V372" s="16"/>
    </row>
    <row r="373" spans="1:22" ht="13.2">
      <c r="A373" s="12"/>
      <c r="B373" s="46"/>
      <c r="C373" s="12"/>
      <c r="D373" s="15"/>
      <c r="E373" s="15"/>
      <c r="F373" s="15"/>
      <c r="G373" s="16"/>
      <c r="H373" s="16"/>
      <c r="I373" s="16"/>
      <c r="J373" s="16"/>
      <c r="K373" s="16"/>
      <c r="L373" s="16"/>
      <c r="M373" s="15"/>
      <c r="N373" s="16"/>
      <c r="O373" s="16"/>
      <c r="P373" s="16"/>
      <c r="Q373" s="16"/>
      <c r="R373" s="16"/>
      <c r="S373" s="16"/>
      <c r="T373" s="16"/>
      <c r="U373" s="16"/>
      <c r="V373" s="16"/>
    </row>
    <row r="374" spans="1:22" ht="13.2">
      <c r="A374" s="12"/>
      <c r="B374" s="46"/>
      <c r="C374" s="12"/>
      <c r="D374" s="15"/>
      <c r="E374" s="15"/>
      <c r="F374" s="15"/>
      <c r="G374" s="16"/>
      <c r="H374" s="16"/>
      <c r="I374" s="16"/>
      <c r="J374" s="16"/>
      <c r="K374" s="16"/>
      <c r="L374" s="16"/>
      <c r="M374" s="15"/>
      <c r="N374" s="16"/>
      <c r="O374" s="16"/>
      <c r="P374" s="16"/>
      <c r="Q374" s="16"/>
      <c r="R374" s="16"/>
      <c r="S374" s="16"/>
      <c r="T374" s="16"/>
      <c r="U374" s="16"/>
      <c r="V374" s="16"/>
    </row>
    <row r="375" spans="1:22" ht="13.2">
      <c r="A375" s="12"/>
      <c r="B375" s="46"/>
      <c r="C375" s="12"/>
      <c r="D375" s="15"/>
      <c r="E375" s="15"/>
      <c r="F375" s="15"/>
      <c r="G375" s="16"/>
      <c r="H375" s="16"/>
      <c r="I375" s="16"/>
      <c r="J375" s="16"/>
      <c r="K375" s="16"/>
      <c r="L375" s="16"/>
      <c r="M375" s="15"/>
      <c r="N375" s="16"/>
      <c r="O375" s="16"/>
      <c r="P375" s="16"/>
      <c r="Q375" s="16"/>
      <c r="R375" s="16"/>
      <c r="S375" s="16"/>
      <c r="T375" s="16"/>
      <c r="U375" s="16"/>
      <c r="V375" s="16"/>
    </row>
    <row r="376" spans="1:22" ht="13.2">
      <c r="A376" s="12"/>
      <c r="B376" s="46"/>
      <c r="C376" s="12"/>
      <c r="D376" s="15"/>
      <c r="E376" s="15"/>
      <c r="F376" s="15"/>
      <c r="G376" s="16"/>
      <c r="H376" s="16"/>
      <c r="I376" s="16"/>
      <c r="J376" s="16"/>
      <c r="K376" s="16"/>
      <c r="L376" s="16"/>
      <c r="M376" s="15"/>
      <c r="N376" s="16"/>
      <c r="O376" s="16"/>
      <c r="P376" s="16"/>
      <c r="Q376" s="16"/>
      <c r="R376" s="16"/>
      <c r="S376" s="16"/>
      <c r="T376" s="16"/>
      <c r="U376" s="16"/>
      <c r="V376" s="16"/>
    </row>
    <row r="377" spans="1:22" ht="13.2">
      <c r="A377" s="12"/>
      <c r="B377" s="46"/>
      <c r="C377" s="12"/>
      <c r="D377" s="15"/>
      <c r="E377" s="15"/>
      <c r="F377" s="15"/>
      <c r="G377" s="16"/>
      <c r="H377" s="16"/>
      <c r="I377" s="16"/>
      <c r="J377" s="16"/>
      <c r="K377" s="16"/>
      <c r="L377" s="16"/>
      <c r="M377" s="15"/>
      <c r="N377" s="16"/>
      <c r="O377" s="16"/>
      <c r="P377" s="16"/>
      <c r="Q377" s="16"/>
      <c r="R377" s="16"/>
      <c r="S377" s="16"/>
      <c r="T377" s="16"/>
      <c r="U377" s="16"/>
      <c r="V377" s="16"/>
    </row>
    <row r="378" spans="1:22" ht="13.2">
      <c r="A378" s="12"/>
      <c r="B378" s="46"/>
      <c r="C378" s="12"/>
      <c r="D378" s="15"/>
      <c r="E378" s="15"/>
      <c r="F378" s="15"/>
      <c r="G378" s="16"/>
      <c r="H378" s="16"/>
      <c r="I378" s="16"/>
      <c r="J378" s="16"/>
      <c r="K378" s="16"/>
      <c r="L378" s="16"/>
      <c r="M378" s="15"/>
      <c r="N378" s="16"/>
      <c r="O378" s="16"/>
      <c r="P378" s="16"/>
      <c r="Q378" s="16"/>
      <c r="R378" s="16"/>
      <c r="S378" s="16"/>
      <c r="T378" s="16"/>
      <c r="U378" s="16"/>
      <c r="V378" s="16"/>
    </row>
    <row r="379" spans="1:22" ht="13.2">
      <c r="A379" s="12"/>
      <c r="B379" s="46"/>
      <c r="C379" s="12"/>
      <c r="D379" s="15"/>
      <c r="E379" s="15"/>
      <c r="F379" s="15"/>
      <c r="G379" s="16"/>
      <c r="H379" s="16"/>
      <c r="I379" s="16"/>
      <c r="J379" s="16"/>
      <c r="K379" s="16"/>
      <c r="L379" s="16"/>
      <c r="M379" s="15"/>
      <c r="N379" s="16"/>
      <c r="O379" s="16"/>
      <c r="P379" s="16"/>
      <c r="Q379" s="16"/>
      <c r="R379" s="16"/>
      <c r="S379" s="16"/>
      <c r="T379" s="16"/>
      <c r="U379" s="16"/>
      <c r="V379" s="16"/>
    </row>
    <row r="380" spans="1:22" ht="13.2">
      <c r="A380" s="12"/>
      <c r="B380" s="46"/>
      <c r="C380" s="12"/>
      <c r="D380" s="15"/>
      <c r="E380" s="15"/>
      <c r="F380" s="15"/>
      <c r="G380" s="16"/>
      <c r="H380" s="16"/>
      <c r="I380" s="16"/>
      <c r="J380" s="16"/>
      <c r="K380" s="16"/>
      <c r="L380" s="16"/>
      <c r="M380" s="15"/>
      <c r="N380" s="16"/>
      <c r="O380" s="16"/>
      <c r="P380" s="16"/>
      <c r="Q380" s="16"/>
      <c r="R380" s="16"/>
      <c r="S380" s="16"/>
      <c r="T380" s="16"/>
      <c r="U380" s="16"/>
      <c r="V380" s="16"/>
    </row>
    <row r="381" spans="1:22" ht="13.2">
      <c r="A381" s="12"/>
      <c r="B381" s="46"/>
      <c r="C381" s="12"/>
      <c r="D381" s="15"/>
      <c r="E381" s="15"/>
      <c r="F381" s="15"/>
      <c r="G381" s="16"/>
      <c r="H381" s="16"/>
      <c r="I381" s="16"/>
      <c r="J381" s="16"/>
      <c r="K381" s="16"/>
      <c r="L381" s="16"/>
      <c r="M381" s="15"/>
      <c r="N381" s="16"/>
      <c r="O381" s="16"/>
      <c r="P381" s="16"/>
      <c r="Q381" s="16"/>
      <c r="R381" s="16"/>
      <c r="S381" s="16"/>
      <c r="T381" s="16"/>
      <c r="U381" s="16"/>
      <c r="V381" s="16"/>
    </row>
    <row r="382" spans="1:22" ht="13.2">
      <c r="A382" s="12"/>
      <c r="B382" s="46"/>
      <c r="C382" s="12"/>
      <c r="D382" s="15"/>
      <c r="E382" s="15"/>
      <c r="F382" s="15"/>
      <c r="G382" s="16"/>
      <c r="H382" s="16"/>
      <c r="I382" s="16"/>
      <c r="J382" s="16"/>
      <c r="K382" s="16"/>
      <c r="L382" s="16"/>
      <c r="M382" s="15"/>
      <c r="N382" s="16"/>
      <c r="O382" s="16"/>
      <c r="P382" s="16"/>
      <c r="Q382" s="16"/>
      <c r="R382" s="16"/>
      <c r="S382" s="16"/>
      <c r="T382" s="16"/>
      <c r="U382" s="16"/>
      <c r="V382" s="16"/>
    </row>
    <row r="383" spans="1:22" ht="13.2">
      <c r="A383" s="12"/>
      <c r="B383" s="46"/>
      <c r="C383" s="12"/>
      <c r="D383" s="15"/>
      <c r="E383" s="15"/>
      <c r="F383" s="15"/>
      <c r="G383" s="16"/>
      <c r="H383" s="16"/>
      <c r="I383" s="16"/>
      <c r="J383" s="16"/>
      <c r="K383" s="16"/>
      <c r="L383" s="16"/>
      <c r="M383" s="15"/>
      <c r="N383" s="16"/>
      <c r="O383" s="16"/>
      <c r="P383" s="16"/>
      <c r="Q383" s="16"/>
      <c r="R383" s="16"/>
      <c r="S383" s="16"/>
      <c r="T383" s="16"/>
      <c r="U383" s="16"/>
      <c r="V383" s="16"/>
    </row>
    <row r="384" spans="1:22" ht="13.2">
      <c r="A384" s="12"/>
      <c r="B384" s="46"/>
      <c r="C384" s="12"/>
      <c r="D384" s="15"/>
      <c r="E384" s="15"/>
      <c r="F384" s="15"/>
      <c r="G384" s="16"/>
      <c r="H384" s="16"/>
      <c r="I384" s="16"/>
      <c r="J384" s="16"/>
      <c r="K384" s="16"/>
      <c r="L384" s="16"/>
      <c r="M384" s="15"/>
      <c r="N384" s="16"/>
      <c r="O384" s="16"/>
      <c r="P384" s="16"/>
      <c r="Q384" s="16"/>
      <c r="R384" s="16"/>
      <c r="S384" s="16"/>
      <c r="T384" s="16"/>
      <c r="U384" s="16"/>
      <c r="V384" s="16"/>
    </row>
    <row r="385" spans="1:22" ht="13.2">
      <c r="A385" s="12"/>
      <c r="B385" s="46"/>
      <c r="C385" s="12"/>
      <c r="D385" s="15"/>
      <c r="E385" s="15"/>
      <c r="F385" s="15"/>
      <c r="G385" s="16"/>
      <c r="H385" s="16"/>
      <c r="I385" s="16"/>
      <c r="J385" s="16"/>
      <c r="K385" s="16"/>
      <c r="L385" s="16"/>
      <c r="M385" s="15"/>
      <c r="N385" s="16"/>
      <c r="O385" s="16"/>
      <c r="P385" s="16"/>
      <c r="Q385" s="16"/>
      <c r="R385" s="16"/>
      <c r="S385" s="16"/>
      <c r="T385" s="16"/>
      <c r="U385" s="16"/>
      <c r="V385" s="16"/>
    </row>
    <row r="386" spans="1:22" ht="13.2">
      <c r="A386" s="12"/>
      <c r="B386" s="46"/>
      <c r="C386" s="12"/>
      <c r="D386" s="15"/>
      <c r="E386" s="15"/>
      <c r="F386" s="15"/>
      <c r="G386" s="16"/>
      <c r="H386" s="16"/>
      <c r="I386" s="16"/>
      <c r="J386" s="16"/>
      <c r="K386" s="16"/>
      <c r="L386" s="16"/>
      <c r="M386" s="15"/>
      <c r="N386" s="16"/>
      <c r="O386" s="16"/>
      <c r="P386" s="16"/>
      <c r="Q386" s="16"/>
      <c r="R386" s="16"/>
      <c r="S386" s="16"/>
      <c r="T386" s="16"/>
      <c r="U386" s="16"/>
      <c r="V386" s="16"/>
    </row>
    <row r="387" spans="1:22" ht="13.2">
      <c r="A387" s="12"/>
      <c r="B387" s="46"/>
      <c r="C387" s="12"/>
      <c r="D387" s="15"/>
      <c r="E387" s="15"/>
      <c r="F387" s="15"/>
      <c r="G387" s="16"/>
      <c r="H387" s="16"/>
      <c r="I387" s="16"/>
      <c r="J387" s="16"/>
      <c r="K387" s="16"/>
      <c r="L387" s="16"/>
      <c r="M387" s="15"/>
      <c r="N387" s="16"/>
      <c r="O387" s="16"/>
      <c r="P387" s="16"/>
      <c r="Q387" s="16"/>
      <c r="R387" s="16"/>
      <c r="S387" s="16"/>
      <c r="T387" s="16"/>
      <c r="U387" s="16"/>
      <c r="V387" s="16"/>
    </row>
    <row r="388" spans="1:22" ht="13.2">
      <c r="A388" s="12"/>
      <c r="B388" s="46"/>
      <c r="C388" s="12"/>
      <c r="D388" s="15"/>
      <c r="E388" s="15"/>
      <c r="F388" s="15"/>
      <c r="G388" s="16"/>
      <c r="H388" s="16"/>
      <c r="I388" s="16"/>
      <c r="J388" s="16"/>
      <c r="K388" s="16"/>
      <c r="L388" s="16"/>
      <c r="M388" s="15"/>
      <c r="N388" s="16"/>
      <c r="O388" s="16"/>
      <c r="P388" s="16"/>
      <c r="Q388" s="16"/>
      <c r="R388" s="16"/>
      <c r="S388" s="16"/>
      <c r="T388" s="16"/>
      <c r="U388" s="16"/>
      <c r="V388" s="16"/>
    </row>
    <row r="389" spans="1:22" ht="13.2">
      <c r="A389" s="12"/>
      <c r="B389" s="46"/>
      <c r="C389" s="12"/>
      <c r="D389" s="15"/>
      <c r="E389" s="15"/>
      <c r="F389" s="15"/>
      <c r="G389" s="16"/>
      <c r="H389" s="16"/>
      <c r="I389" s="16"/>
      <c r="J389" s="16"/>
      <c r="K389" s="16"/>
      <c r="L389" s="16"/>
      <c r="M389" s="15"/>
      <c r="N389" s="16"/>
      <c r="O389" s="16"/>
      <c r="P389" s="16"/>
      <c r="Q389" s="16"/>
      <c r="R389" s="16"/>
      <c r="S389" s="16"/>
      <c r="T389" s="16"/>
      <c r="U389" s="16"/>
      <c r="V389" s="16"/>
    </row>
    <row r="390" spans="1:22" ht="13.2">
      <c r="A390" s="12"/>
      <c r="B390" s="46"/>
      <c r="C390" s="12"/>
      <c r="D390" s="15"/>
      <c r="E390" s="15"/>
      <c r="F390" s="15"/>
      <c r="G390" s="16"/>
      <c r="H390" s="16"/>
      <c r="I390" s="16"/>
      <c r="J390" s="16"/>
      <c r="K390" s="16"/>
      <c r="L390" s="16"/>
      <c r="M390" s="15"/>
      <c r="N390" s="16"/>
      <c r="O390" s="16"/>
      <c r="P390" s="16"/>
      <c r="Q390" s="16"/>
      <c r="R390" s="16"/>
      <c r="S390" s="16"/>
      <c r="T390" s="16"/>
      <c r="U390" s="16"/>
      <c r="V390" s="16"/>
    </row>
    <row r="391" spans="1:22" ht="13.2">
      <c r="A391" s="12"/>
      <c r="B391" s="46"/>
      <c r="C391" s="12"/>
      <c r="D391" s="15"/>
      <c r="E391" s="15"/>
      <c r="F391" s="15"/>
      <c r="G391" s="16"/>
      <c r="H391" s="16"/>
      <c r="I391" s="16"/>
      <c r="J391" s="16"/>
      <c r="K391" s="16"/>
      <c r="L391" s="16"/>
      <c r="M391" s="15"/>
      <c r="N391" s="16"/>
      <c r="O391" s="16"/>
      <c r="P391" s="16"/>
      <c r="Q391" s="16"/>
      <c r="R391" s="16"/>
      <c r="S391" s="16"/>
      <c r="T391" s="16"/>
      <c r="U391" s="16"/>
      <c r="V391" s="16"/>
    </row>
    <row r="392" spans="1:22" ht="13.2">
      <c r="A392" s="12"/>
      <c r="B392" s="46"/>
      <c r="C392" s="12"/>
      <c r="D392" s="15"/>
      <c r="E392" s="15"/>
      <c r="F392" s="15"/>
      <c r="G392" s="16"/>
      <c r="H392" s="16"/>
      <c r="I392" s="16"/>
      <c r="J392" s="16"/>
      <c r="K392" s="16"/>
      <c r="L392" s="16"/>
      <c r="M392" s="15"/>
      <c r="N392" s="16"/>
      <c r="O392" s="16"/>
      <c r="P392" s="16"/>
      <c r="Q392" s="16"/>
      <c r="R392" s="16"/>
      <c r="S392" s="16"/>
      <c r="T392" s="16"/>
      <c r="U392" s="16"/>
      <c r="V392" s="16"/>
    </row>
    <row r="393" spans="1:22" ht="13.2">
      <c r="A393" s="12"/>
      <c r="B393" s="46"/>
      <c r="C393" s="12"/>
      <c r="D393" s="15"/>
      <c r="E393" s="15"/>
      <c r="F393" s="15"/>
      <c r="G393" s="16"/>
      <c r="H393" s="16"/>
      <c r="I393" s="16"/>
      <c r="J393" s="16"/>
      <c r="K393" s="16"/>
      <c r="L393" s="16"/>
      <c r="M393" s="15"/>
      <c r="N393" s="16"/>
      <c r="O393" s="16"/>
      <c r="P393" s="16"/>
      <c r="Q393" s="16"/>
      <c r="R393" s="16"/>
      <c r="S393" s="16"/>
      <c r="T393" s="16"/>
      <c r="U393" s="16"/>
      <c r="V393" s="16"/>
    </row>
    <row r="394" spans="1:22" ht="13.2">
      <c r="A394" s="12"/>
      <c r="B394" s="46"/>
      <c r="C394" s="12"/>
      <c r="D394" s="15"/>
      <c r="E394" s="15"/>
      <c r="F394" s="15"/>
      <c r="G394" s="16"/>
      <c r="H394" s="16"/>
      <c r="I394" s="16"/>
      <c r="J394" s="16"/>
      <c r="K394" s="16"/>
      <c r="L394" s="16"/>
      <c r="M394" s="15"/>
      <c r="N394" s="16"/>
      <c r="O394" s="16"/>
      <c r="P394" s="16"/>
      <c r="Q394" s="16"/>
      <c r="R394" s="16"/>
      <c r="S394" s="16"/>
      <c r="T394" s="16"/>
      <c r="U394" s="16"/>
      <c r="V394" s="16"/>
    </row>
    <row r="395" spans="1:22" ht="13.2">
      <c r="A395" s="12"/>
      <c r="B395" s="46"/>
      <c r="C395" s="12"/>
      <c r="D395" s="15"/>
      <c r="E395" s="15"/>
      <c r="F395" s="15"/>
      <c r="G395" s="16"/>
      <c r="H395" s="16"/>
      <c r="I395" s="16"/>
      <c r="J395" s="16"/>
      <c r="K395" s="16"/>
      <c r="L395" s="16"/>
      <c r="M395" s="15"/>
      <c r="N395" s="16"/>
      <c r="O395" s="16"/>
      <c r="P395" s="16"/>
      <c r="Q395" s="16"/>
      <c r="R395" s="16"/>
      <c r="S395" s="16"/>
      <c r="T395" s="16"/>
      <c r="U395" s="16"/>
      <c r="V395" s="16"/>
    </row>
    <row r="396" spans="1:22" ht="13.2">
      <c r="A396" s="12"/>
      <c r="B396" s="46"/>
      <c r="C396" s="12"/>
      <c r="D396" s="15"/>
      <c r="E396" s="15"/>
      <c r="F396" s="15"/>
      <c r="G396" s="16"/>
      <c r="H396" s="16"/>
      <c r="I396" s="16"/>
      <c r="J396" s="16"/>
      <c r="K396" s="16"/>
      <c r="L396" s="16"/>
      <c r="M396" s="15"/>
      <c r="N396" s="16"/>
      <c r="O396" s="16"/>
      <c r="P396" s="16"/>
      <c r="Q396" s="16"/>
      <c r="R396" s="16"/>
      <c r="S396" s="16"/>
      <c r="T396" s="16"/>
      <c r="U396" s="16"/>
      <c r="V396" s="16"/>
    </row>
    <row r="397" spans="1:22" ht="13.2">
      <c r="A397" s="12"/>
      <c r="B397" s="46"/>
      <c r="C397" s="12"/>
      <c r="D397" s="15"/>
      <c r="E397" s="15"/>
      <c r="F397" s="15"/>
      <c r="G397" s="16"/>
      <c r="H397" s="16"/>
      <c r="I397" s="16"/>
      <c r="J397" s="16"/>
      <c r="K397" s="16"/>
      <c r="L397" s="16"/>
      <c r="M397" s="15"/>
      <c r="N397" s="16"/>
      <c r="O397" s="16"/>
      <c r="P397" s="16"/>
      <c r="Q397" s="16"/>
      <c r="R397" s="16"/>
      <c r="S397" s="16"/>
      <c r="T397" s="16"/>
      <c r="U397" s="16"/>
      <c r="V397" s="16"/>
    </row>
    <row r="398" spans="1:22" ht="13.2">
      <c r="A398" s="12"/>
      <c r="B398" s="46"/>
      <c r="C398" s="12"/>
      <c r="D398" s="15"/>
      <c r="E398" s="15"/>
      <c r="F398" s="15"/>
      <c r="G398" s="16"/>
      <c r="H398" s="16"/>
      <c r="I398" s="16"/>
      <c r="J398" s="16"/>
      <c r="K398" s="16"/>
      <c r="L398" s="16"/>
      <c r="M398" s="15"/>
      <c r="N398" s="16"/>
      <c r="O398" s="16"/>
      <c r="P398" s="16"/>
      <c r="Q398" s="16"/>
      <c r="R398" s="16"/>
      <c r="S398" s="16"/>
      <c r="T398" s="16"/>
      <c r="U398" s="16"/>
      <c r="V398" s="16"/>
    </row>
    <row r="399" spans="1:22" ht="13.2">
      <c r="A399" s="12"/>
      <c r="B399" s="46"/>
      <c r="C399" s="12"/>
      <c r="D399" s="15"/>
      <c r="E399" s="15"/>
      <c r="F399" s="15"/>
      <c r="G399" s="16"/>
      <c r="H399" s="16"/>
      <c r="I399" s="16"/>
      <c r="J399" s="16"/>
      <c r="K399" s="16"/>
      <c r="L399" s="16"/>
      <c r="M399" s="15"/>
      <c r="N399" s="16"/>
      <c r="O399" s="16"/>
      <c r="P399" s="16"/>
      <c r="Q399" s="16"/>
      <c r="R399" s="16"/>
      <c r="S399" s="16"/>
      <c r="T399" s="16"/>
      <c r="U399" s="16"/>
      <c r="V399" s="16"/>
    </row>
    <row r="400" spans="1:22" ht="13.2">
      <c r="A400" s="12"/>
      <c r="B400" s="46"/>
      <c r="C400" s="12"/>
      <c r="D400" s="15"/>
      <c r="E400" s="15"/>
      <c r="F400" s="15"/>
      <c r="G400" s="16"/>
      <c r="H400" s="16"/>
      <c r="I400" s="16"/>
      <c r="J400" s="16"/>
      <c r="K400" s="16"/>
      <c r="L400" s="16"/>
      <c r="M400" s="15"/>
      <c r="N400" s="16"/>
      <c r="O400" s="16"/>
      <c r="P400" s="16"/>
      <c r="Q400" s="16"/>
      <c r="R400" s="16"/>
      <c r="S400" s="16"/>
      <c r="T400" s="16"/>
      <c r="U400" s="16"/>
      <c r="V400" s="16"/>
    </row>
    <row r="401" spans="1:22" ht="13.2">
      <c r="A401" s="12"/>
      <c r="B401" s="46"/>
      <c r="C401" s="12"/>
      <c r="D401" s="15"/>
      <c r="E401" s="15"/>
      <c r="F401" s="15"/>
      <c r="G401" s="16"/>
      <c r="H401" s="16"/>
      <c r="I401" s="16"/>
      <c r="J401" s="16"/>
      <c r="K401" s="16"/>
      <c r="L401" s="16"/>
      <c r="M401" s="15"/>
      <c r="N401" s="16"/>
      <c r="O401" s="16"/>
      <c r="P401" s="16"/>
      <c r="Q401" s="16"/>
      <c r="R401" s="16"/>
      <c r="S401" s="16"/>
      <c r="T401" s="16"/>
      <c r="U401" s="16"/>
      <c r="V401" s="16"/>
    </row>
    <row r="402" spans="1:22" ht="13.2">
      <c r="A402" s="12"/>
      <c r="B402" s="46"/>
      <c r="C402" s="12"/>
      <c r="D402" s="15"/>
      <c r="E402" s="15"/>
      <c r="F402" s="15"/>
      <c r="G402" s="16"/>
      <c r="H402" s="16"/>
      <c r="I402" s="16"/>
      <c r="J402" s="16"/>
      <c r="K402" s="16"/>
      <c r="L402" s="16"/>
      <c r="M402" s="15"/>
      <c r="N402" s="16"/>
      <c r="O402" s="16"/>
      <c r="P402" s="16"/>
      <c r="Q402" s="16"/>
      <c r="R402" s="16"/>
      <c r="S402" s="16"/>
      <c r="T402" s="16"/>
      <c r="U402" s="16"/>
      <c r="V402" s="16"/>
    </row>
    <row r="403" spans="1:22" ht="13.2">
      <c r="A403" s="12"/>
      <c r="B403" s="46"/>
      <c r="C403" s="12"/>
      <c r="D403" s="15"/>
      <c r="E403" s="15"/>
      <c r="F403" s="15"/>
      <c r="G403" s="16"/>
      <c r="H403" s="16"/>
      <c r="I403" s="16"/>
      <c r="J403" s="16"/>
      <c r="K403" s="16"/>
      <c r="L403" s="16"/>
      <c r="M403" s="15"/>
      <c r="N403" s="16"/>
      <c r="O403" s="16"/>
      <c r="P403" s="16"/>
      <c r="Q403" s="16"/>
      <c r="R403" s="16"/>
      <c r="S403" s="16"/>
      <c r="T403" s="16"/>
      <c r="U403" s="16"/>
      <c r="V403" s="16"/>
    </row>
    <row r="404" spans="1:22" ht="13.2">
      <c r="A404" s="12"/>
      <c r="B404" s="46"/>
      <c r="C404" s="12"/>
      <c r="D404" s="15"/>
      <c r="E404" s="15"/>
      <c r="F404" s="15"/>
      <c r="G404" s="16"/>
      <c r="H404" s="16"/>
      <c r="I404" s="16"/>
      <c r="J404" s="16"/>
      <c r="K404" s="16"/>
      <c r="L404" s="16"/>
      <c r="M404" s="15"/>
      <c r="N404" s="16"/>
      <c r="O404" s="16"/>
      <c r="P404" s="16"/>
      <c r="Q404" s="16"/>
      <c r="R404" s="16"/>
      <c r="S404" s="16"/>
      <c r="T404" s="16"/>
      <c r="U404" s="16"/>
      <c r="V404" s="16"/>
    </row>
    <row r="405" spans="1:22" ht="13.2">
      <c r="A405" s="12"/>
      <c r="B405" s="46"/>
      <c r="C405" s="12"/>
      <c r="D405" s="15"/>
      <c r="E405" s="15"/>
      <c r="F405" s="15"/>
      <c r="G405" s="16"/>
      <c r="H405" s="16"/>
      <c r="I405" s="16"/>
      <c r="J405" s="16"/>
      <c r="K405" s="16"/>
      <c r="L405" s="16"/>
      <c r="M405" s="15"/>
      <c r="N405" s="16"/>
      <c r="O405" s="16"/>
      <c r="P405" s="16"/>
      <c r="Q405" s="16"/>
      <c r="R405" s="16"/>
      <c r="S405" s="16"/>
      <c r="T405" s="16"/>
      <c r="U405" s="16"/>
      <c r="V405" s="16"/>
    </row>
    <row r="406" spans="1:22" ht="13.2">
      <c r="A406" s="12"/>
      <c r="B406" s="46"/>
      <c r="C406" s="12"/>
      <c r="D406" s="15"/>
      <c r="E406" s="15"/>
      <c r="F406" s="15"/>
      <c r="G406" s="16"/>
      <c r="H406" s="16"/>
      <c r="I406" s="16"/>
      <c r="J406" s="16"/>
      <c r="K406" s="16"/>
      <c r="L406" s="16"/>
      <c r="M406" s="15"/>
      <c r="N406" s="16"/>
      <c r="O406" s="16"/>
      <c r="P406" s="16"/>
      <c r="Q406" s="16"/>
      <c r="R406" s="16"/>
      <c r="S406" s="16"/>
      <c r="T406" s="16"/>
      <c r="U406" s="16"/>
      <c r="V406" s="16"/>
    </row>
    <row r="407" spans="1:22" ht="13.2">
      <c r="A407" s="12"/>
      <c r="B407" s="46"/>
      <c r="C407" s="12"/>
      <c r="D407" s="15"/>
      <c r="E407" s="15"/>
      <c r="F407" s="15"/>
      <c r="G407" s="16"/>
      <c r="H407" s="16"/>
      <c r="I407" s="16"/>
      <c r="J407" s="16"/>
      <c r="K407" s="16"/>
      <c r="L407" s="16"/>
      <c r="M407" s="15"/>
      <c r="N407" s="16"/>
      <c r="O407" s="16"/>
      <c r="P407" s="16"/>
      <c r="Q407" s="16"/>
      <c r="R407" s="16"/>
      <c r="S407" s="16"/>
      <c r="T407" s="16"/>
      <c r="U407" s="16"/>
      <c r="V407" s="16"/>
    </row>
    <row r="408" spans="1:22" ht="13.2">
      <c r="A408" s="12"/>
      <c r="B408" s="46"/>
      <c r="C408" s="12"/>
      <c r="D408" s="15"/>
      <c r="E408" s="15"/>
      <c r="F408" s="15"/>
      <c r="G408" s="16"/>
      <c r="H408" s="16"/>
      <c r="I408" s="16"/>
      <c r="J408" s="16"/>
      <c r="K408" s="16"/>
      <c r="L408" s="16"/>
      <c r="M408" s="15"/>
      <c r="N408" s="16"/>
      <c r="O408" s="16"/>
      <c r="P408" s="16"/>
      <c r="Q408" s="16"/>
      <c r="R408" s="16"/>
      <c r="S408" s="16"/>
      <c r="T408" s="16"/>
      <c r="U408" s="16"/>
      <c r="V408" s="16"/>
    </row>
    <row r="409" spans="1:22" ht="13.2">
      <c r="A409" s="12"/>
      <c r="B409" s="46"/>
      <c r="C409" s="12"/>
      <c r="D409" s="15"/>
      <c r="E409" s="15"/>
      <c r="F409" s="15"/>
      <c r="G409" s="16"/>
      <c r="H409" s="16"/>
      <c r="I409" s="16"/>
      <c r="J409" s="16"/>
      <c r="K409" s="16"/>
      <c r="L409" s="16"/>
      <c r="M409" s="15"/>
      <c r="N409" s="16"/>
      <c r="O409" s="16"/>
      <c r="P409" s="16"/>
      <c r="Q409" s="16"/>
      <c r="R409" s="16"/>
      <c r="S409" s="16"/>
      <c r="T409" s="16"/>
      <c r="U409" s="16"/>
      <c r="V409" s="16"/>
    </row>
    <row r="410" spans="1:22" ht="13.2">
      <c r="A410" s="12"/>
      <c r="B410" s="46"/>
      <c r="C410" s="12"/>
      <c r="D410" s="15"/>
      <c r="E410" s="15"/>
      <c r="F410" s="15"/>
      <c r="G410" s="16"/>
      <c r="H410" s="16"/>
      <c r="I410" s="16"/>
      <c r="J410" s="16"/>
      <c r="K410" s="16"/>
      <c r="L410" s="16"/>
      <c r="M410" s="15"/>
      <c r="N410" s="16"/>
      <c r="O410" s="16"/>
      <c r="P410" s="16"/>
      <c r="Q410" s="16"/>
      <c r="R410" s="16"/>
      <c r="S410" s="16"/>
      <c r="T410" s="16"/>
      <c r="U410" s="16"/>
      <c r="V410" s="16"/>
    </row>
    <row r="411" spans="1:22" ht="13.2">
      <c r="A411" s="12"/>
      <c r="B411" s="46"/>
      <c r="C411" s="12"/>
      <c r="D411" s="15"/>
      <c r="E411" s="15"/>
      <c r="F411" s="15"/>
      <c r="G411" s="16"/>
      <c r="H411" s="16"/>
      <c r="I411" s="16"/>
      <c r="J411" s="16"/>
      <c r="K411" s="16"/>
      <c r="L411" s="16"/>
      <c r="M411" s="15"/>
      <c r="N411" s="16"/>
      <c r="O411" s="16"/>
      <c r="P411" s="16"/>
      <c r="Q411" s="16"/>
      <c r="R411" s="16"/>
      <c r="S411" s="16"/>
      <c r="T411" s="16"/>
      <c r="U411" s="16"/>
      <c r="V411" s="16"/>
    </row>
    <row r="412" spans="1:22" ht="13.2">
      <c r="A412" s="12"/>
      <c r="B412" s="46"/>
      <c r="C412" s="12"/>
      <c r="D412" s="15"/>
      <c r="E412" s="15"/>
      <c r="F412" s="15"/>
      <c r="G412" s="16"/>
      <c r="H412" s="16"/>
      <c r="I412" s="16"/>
      <c r="J412" s="16"/>
      <c r="K412" s="16"/>
      <c r="L412" s="16"/>
      <c r="M412" s="15"/>
      <c r="N412" s="16"/>
      <c r="O412" s="16"/>
      <c r="P412" s="16"/>
      <c r="Q412" s="16"/>
      <c r="R412" s="16"/>
      <c r="S412" s="16"/>
      <c r="T412" s="16"/>
      <c r="U412" s="16"/>
      <c r="V412" s="16"/>
    </row>
    <row r="413" spans="1:22" ht="13.2">
      <c r="A413" s="12"/>
      <c r="B413" s="46"/>
      <c r="C413" s="12"/>
      <c r="D413" s="15"/>
      <c r="E413" s="15"/>
      <c r="F413" s="15"/>
      <c r="G413" s="16"/>
      <c r="H413" s="16"/>
      <c r="I413" s="16"/>
      <c r="J413" s="16"/>
      <c r="K413" s="16"/>
      <c r="L413" s="16"/>
      <c r="M413" s="15"/>
      <c r="N413" s="16"/>
      <c r="O413" s="16"/>
      <c r="P413" s="16"/>
      <c r="Q413" s="16"/>
      <c r="R413" s="16"/>
      <c r="S413" s="16"/>
      <c r="T413" s="16"/>
      <c r="U413" s="16"/>
      <c r="V413" s="16"/>
    </row>
    <row r="414" spans="1:22" ht="13.2">
      <c r="A414" s="12"/>
      <c r="B414" s="46"/>
      <c r="C414" s="12"/>
      <c r="D414" s="15"/>
      <c r="E414" s="15"/>
      <c r="F414" s="15"/>
      <c r="G414" s="16"/>
      <c r="H414" s="16"/>
      <c r="I414" s="16"/>
      <c r="J414" s="16"/>
      <c r="K414" s="16"/>
      <c r="L414" s="16"/>
      <c r="M414" s="15"/>
      <c r="N414" s="16"/>
      <c r="O414" s="16"/>
      <c r="P414" s="16"/>
      <c r="Q414" s="16"/>
      <c r="R414" s="16"/>
      <c r="S414" s="16"/>
      <c r="T414" s="16"/>
      <c r="U414" s="16"/>
      <c r="V414" s="16"/>
    </row>
    <row r="415" spans="1:22" ht="13.2">
      <c r="A415" s="12"/>
      <c r="B415" s="46"/>
      <c r="C415" s="12"/>
      <c r="D415" s="15"/>
      <c r="E415" s="15"/>
      <c r="F415" s="15"/>
      <c r="G415" s="16"/>
      <c r="H415" s="16"/>
      <c r="I415" s="16"/>
      <c r="J415" s="16"/>
      <c r="K415" s="16"/>
      <c r="L415" s="16"/>
      <c r="M415" s="15"/>
      <c r="N415" s="16"/>
      <c r="O415" s="16"/>
      <c r="P415" s="16"/>
      <c r="Q415" s="16"/>
      <c r="R415" s="16"/>
      <c r="S415" s="16"/>
      <c r="T415" s="16"/>
      <c r="U415" s="16"/>
      <c r="V415" s="16"/>
    </row>
    <row r="416" spans="1:22" ht="13.2">
      <c r="A416" s="12"/>
      <c r="B416" s="46"/>
      <c r="C416" s="12"/>
      <c r="D416" s="15"/>
      <c r="E416" s="15"/>
      <c r="F416" s="15"/>
      <c r="G416" s="16"/>
      <c r="H416" s="16"/>
      <c r="I416" s="16"/>
      <c r="J416" s="16"/>
      <c r="K416" s="16"/>
      <c r="L416" s="16"/>
      <c r="M416" s="15"/>
      <c r="N416" s="16"/>
      <c r="O416" s="16"/>
      <c r="P416" s="16"/>
      <c r="Q416" s="16"/>
      <c r="R416" s="16"/>
      <c r="S416" s="16"/>
      <c r="T416" s="16"/>
      <c r="U416" s="16"/>
      <c r="V416" s="16"/>
    </row>
    <row r="417" spans="1:22" ht="13.2">
      <c r="A417" s="12"/>
      <c r="B417" s="46"/>
      <c r="C417" s="12"/>
      <c r="D417" s="15"/>
      <c r="E417" s="15"/>
      <c r="F417" s="15"/>
      <c r="G417" s="16"/>
      <c r="H417" s="16"/>
      <c r="I417" s="16"/>
      <c r="J417" s="16"/>
      <c r="K417" s="16"/>
      <c r="L417" s="16"/>
      <c r="M417" s="15"/>
      <c r="N417" s="16"/>
      <c r="O417" s="16"/>
      <c r="P417" s="16"/>
      <c r="Q417" s="16"/>
      <c r="R417" s="16"/>
      <c r="S417" s="16"/>
      <c r="T417" s="16"/>
      <c r="U417" s="16"/>
      <c r="V417" s="16"/>
    </row>
    <row r="418" spans="1:22" ht="13.2">
      <c r="A418" s="12"/>
      <c r="B418" s="46"/>
      <c r="C418" s="12"/>
      <c r="D418" s="15"/>
      <c r="E418" s="15"/>
      <c r="F418" s="15"/>
      <c r="G418" s="16"/>
      <c r="H418" s="16"/>
      <c r="I418" s="16"/>
      <c r="J418" s="16"/>
      <c r="K418" s="16"/>
      <c r="L418" s="16"/>
      <c r="M418" s="15"/>
      <c r="N418" s="16"/>
      <c r="O418" s="16"/>
      <c r="P418" s="16"/>
      <c r="Q418" s="16"/>
      <c r="R418" s="16"/>
      <c r="S418" s="16"/>
      <c r="T418" s="16"/>
      <c r="U418" s="16"/>
      <c r="V418" s="16"/>
    </row>
    <row r="419" spans="1:22" ht="13.2">
      <c r="A419" s="12"/>
      <c r="B419" s="46"/>
      <c r="C419" s="12"/>
      <c r="D419" s="15"/>
      <c r="E419" s="15"/>
      <c r="F419" s="15"/>
      <c r="G419" s="16"/>
      <c r="H419" s="16"/>
      <c r="I419" s="16"/>
      <c r="J419" s="16"/>
      <c r="K419" s="16"/>
      <c r="L419" s="16"/>
      <c r="M419" s="15"/>
      <c r="N419" s="16"/>
      <c r="O419" s="16"/>
      <c r="P419" s="16"/>
      <c r="Q419" s="16"/>
      <c r="R419" s="16"/>
      <c r="S419" s="16"/>
      <c r="T419" s="16"/>
      <c r="U419" s="16"/>
      <c r="V419" s="16"/>
    </row>
    <row r="420" spans="1:22" ht="13.2">
      <c r="A420" s="12"/>
      <c r="B420" s="46"/>
      <c r="C420" s="12"/>
      <c r="D420" s="15"/>
      <c r="E420" s="15"/>
      <c r="F420" s="15"/>
      <c r="G420" s="16"/>
      <c r="H420" s="16"/>
      <c r="I420" s="16"/>
      <c r="J420" s="16"/>
      <c r="K420" s="16"/>
      <c r="L420" s="16"/>
      <c r="M420" s="15"/>
      <c r="N420" s="16"/>
      <c r="O420" s="16"/>
      <c r="P420" s="16"/>
      <c r="Q420" s="16"/>
      <c r="R420" s="16"/>
      <c r="S420" s="16"/>
      <c r="T420" s="16"/>
      <c r="U420" s="16"/>
      <c r="V420" s="16"/>
    </row>
    <row r="421" spans="1:22" ht="13.2">
      <c r="A421" s="12"/>
      <c r="B421" s="46"/>
      <c r="C421" s="12"/>
      <c r="D421" s="15"/>
      <c r="E421" s="15"/>
      <c r="F421" s="15"/>
      <c r="G421" s="16"/>
      <c r="H421" s="16"/>
      <c r="I421" s="16"/>
      <c r="J421" s="16"/>
      <c r="K421" s="16"/>
      <c r="L421" s="16"/>
      <c r="M421" s="15"/>
      <c r="N421" s="16"/>
      <c r="O421" s="16"/>
      <c r="P421" s="16"/>
      <c r="Q421" s="16"/>
      <c r="R421" s="16"/>
      <c r="S421" s="16"/>
      <c r="T421" s="16"/>
      <c r="U421" s="16"/>
      <c r="V421" s="16"/>
    </row>
    <row r="422" spans="1:22" ht="13.2">
      <c r="A422" s="12"/>
      <c r="B422" s="46"/>
      <c r="C422" s="12"/>
      <c r="D422" s="15"/>
      <c r="E422" s="15"/>
      <c r="F422" s="15"/>
      <c r="G422" s="16"/>
      <c r="H422" s="16"/>
      <c r="I422" s="16"/>
      <c r="J422" s="16"/>
      <c r="K422" s="16"/>
      <c r="L422" s="16"/>
      <c r="M422" s="15"/>
      <c r="N422" s="16"/>
      <c r="O422" s="16"/>
      <c r="P422" s="16"/>
      <c r="Q422" s="16"/>
      <c r="R422" s="16"/>
      <c r="S422" s="16"/>
      <c r="T422" s="16"/>
      <c r="U422" s="16"/>
      <c r="V422" s="16"/>
    </row>
    <row r="423" spans="1:22" ht="13.2">
      <c r="A423" s="12"/>
      <c r="B423" s="46"/>
      <c r="C423" s="12"/>
      <c r="D423" s="15"/>
      <c r="E423" s="15"/>
      <c r="F423" s="15"/>
      <c r="G423" s="16"/>
      <c r="H423" s="16"/>
      <c r="I423" s="16"/>
      <c r="J423" s="16"/>
      <c r="K423" s="16"/>
      <c r="L423" s="16"/>
      <c r="M423" s="15"/>
      <c r="N423" s="16"/>
      <c r="O423" s="16"/>
      <c r="P423" s="16"/>
      <c r="Q423" s="16"/>
      <c r="R423" s="16"/>
      <c r="S423" s="16"/>
      <c r="T423" s="16"/>
      <c r="U423" s="16"/>
      <c r="V423" s="16"/>
    </row>
    <row r="424" spans="1:22" ht="13.2">
      <c r="A424" s="12"/>
      <c r="B424" s="46"/>
      <c r="C424" s="12"/>
      <c r="D424" s="15"/>
      <c r="E424" s="15"/>
      <c r="F424" s="15"/>
      <c r="G424" s="16"/>
      <c r="H424" s="16"/>
      <c r="I424" s="16"/>
      <c r="J424" s="16"/>
      <c r="K424" s="16"/>
      <c r="L424" s="16"/>
      <c r="M424" s="15"/>
      <c r="N424" s="16"/>
      <c r="O424" s="16"/>
      <c r="P424" s="16"/>
      <c r="Q424" s="16"/>
      <c r="R424" s="16"/>
      <c r="S424" s="16"/>
      <c r="T424" s="16"/>
      <c r="U424" s="16"/>
      <c r="V424" s="16"/>
    </row>
    <row r="425" spans="1:22" ht="13.2">
      <c r="A425" s="12"/>
      <c r="B425" s="46"/>
      <c r="C425" s="12"/>
      <c r="D425" s="15"/>
      <c r="E425" s="15"/>
      <c r="F425" s="15"/>
      <c r="G425" s="16"/>
      <c r="H425" s="16"/>
      <c r="I425" s="16"/>
      <c r="J425" s="16"/>
      <c r="K425" s="16"/>
      <c r="L425" s="16"/>
      <c r="M425" s="15"/>
      <c r="N425" s="16"/>
      <c r="O425" s="16"/>
      <c r="P425" s="16"/>
      <c r="Q425" s="16"/>
      <c r="R425" s="16"/>
      <c r="S425" s="16"/>
      <c r="T425" s="16"/>
      <c r="U425" s="16"/>
      <c r="V425" s="16"/>
    </row>
    <row r="426" spans="1:22" ht="13.2">
      <c r="A426" s="12"/>
      <c r="B426" s="46"/>
      <c r="C426" s="12"/>
      <c r="D426" s="15"/>
      <c r="E426" s="15"/>
      <c r="F426" s="15"/>
      <c r="G426" s="16"/>
      <c r="H426" s="16"/>
      <c r="I426" s="16"/>
      <c r="J426" s="16"/>
      <c r="K426" s="16"/>
      <c r="L426" s="16"/>
      <c r="M426" s="15"/>
      <c r="N426" s="16"/>
      <c r="O426" s="16"/>
      <c r="P426" s="16"/>
      <c r="Q426" s="16"/>
      <c r="R426" s="16"/>
      <c r="S426" s="16"/>
      <c r="T426" s="16"/>
      <c r="U426" s="16"/>
      <c r="V426" s="16"/>
    </row>
    <row r="427" spans="1:22" ht="13.2">
      <c r="A427" s="12"/>
      <c r="B427" s="46"/>
      <c r="C427" s="12"/>
      <c r="D427" s="15"/>
      <c r="E427" s="15"/>
      <c r="F427" s="15"/>
      <c r="G427" s="16"/>
      <c r="H427" s="16"/>
      <c r="I427" s="16"/>
      <c r="J427" s="16"/>
      <c r="K427" s="16"/>
      <c r="L427" s="16"/>
      <c r="M427" s="15"/>
      <c r="N427" s="16"/>
      <c r="O427" s="16"/>
      <c r="P427" s="16"/>
      <c r="Q427" s="16"/>
      <c r="R427" s="16"/>
      <c r="S427" s="16"/>
      <c r="T427" s="16"/>
      <c r="U427" s="16"/>
      <c r="V427" s="16"/>
    </row>
    <row r="428" spans="1:22" ht="13.2">
      <c r="A428" s="12"/>
      <c r="B428" s="46"/>
      <c r="C428" s="12"/>
      <c r="D428" s="15"/>
      <c r="E428" s="15"/>
      <c r="F428" s="15"/>
      <c r="G428" s="16"/>
      <c r="H428" s="16"/>
      <c r="I428" s="16"/>
      <c r="J428" s="16"/>
      <c r="K428" s="16"/>
      <c r="L428" s="16"/>
      <c r="M428" s="15"/>
      <c r="N428" s="16"/>
      <c r="O428" s="16"/>
      <c r="P428" s="16"/>
      <c r="Q428" s="16"/>
      <c r="R428" s="16"/>
      <c r="S428" s="16"/>
      <c r="T428" s="16"/>
      <c r="U428" s="16"/>
      <c r="V428" s="16"/>
    </row>
    <row r="429" spans="1:22" ht="13.2">
      <c r="A429" s="12"/>
      <c r="B429" s="46"/>
      <c r="C429" s="12"/>
      <c r="D429" s="15"/>
      <c r="E429" s="15"/>
      <c r="F429" s="15"/>
      <c r="G429" s="16"/>
      <c r="H429" s="16"/>
      <c r="I429" s="16"/>
      <c r="J429" s="16"/>
      <c r="K429" s="16"/>
      <c r="L429" s="16"/>
      <c r="M429" s="15"/>
      <c r="N429" s="16"/>
      <c r="O429" s="16"/>
      <c r="P429" s="16"/>
      <c r="Q429" s="16"/>
      <c r="R429" s="16"/>
      <c r="S429" s="16"/>
      <c r="T429" s="16"/>
      <c r="U429" s="16"/>
      <c r="V429" s="16"/>
    </row>
    <row r="430" spans="1:22" ht="13.2">
      <c r="A430" s="12"/>
      <c r="B430" s="46"/>
      <c r="C430" s="12"/>
      <c r="D430" s="15"/>
      <c r="E430" s="15"/>
      <c r="F430" s="15"/>
      <c r="G430" s="16"/>
      <c r="H430" s="16"/>
      <c r="I430" s="16"/>
      <c r="J430" s="16"/>
      <c r="K430" s="16"/>
      <c r="L430" s="16"/>
      <c r="M430" s="15"/>
      <c r="N430" s="16"/>
      <c r="O430" s="16"/>
      <c r="P430" s="16"/>
      <c r="Q430" s="16"/>
      <c r="R430" s="16"/>
      <c r="S430" s="16"/>
      <c r="T430" s="16"/>
      <c r="U430" s="16"/>
      <c r="V430" s="16"/>
    </row>
    <row r="431" spans="1:22" ht="13.2">
      <c r="A431" s="12"/>
      <c r="B431" s="46"/>
      <c r="C431" s="12"/>
      <c r="D431" s="15"/>
      <c r="E431" s="15"/>
      <c r="F431" s="15"/>
      <c r="G431" s="16"/>
      <c r="H431" s="16"/>
      <c r="I431" s="16"/>
      <c r="J431" s="16"/>
      <c r="K431" s="16"/>
      <c r="L431" s="16"/>
      <c r="M431" s="15"/>
      <c r="N431" s="16"/>
      <c r="O431" s="16"/>
      <c r="P431" s="16"/>
      <c r="Q431" s="16"/>
      <c r="R431" s="16"/>
      <c r="S431" s="16"/>
      <c r="T431" s="16"/>
      <c r="U431" s="16"/>
      <c r="V431" s="16"/>
    </row>
    <row r="432" spans="1:22" ht="13.2">
      <c r="A432" s="12"/>
      <c r="B432" s="46"/>
      <c r="C432" s="12"/>
      <c r="D432" s="15"/>
      <c r="E432" s="15"/>
      <c r="F432" s="15"/>
      <c r="G432" s="16"/>
      <c r="H432" s="16"/>
      <c r="I432" s="16"/>
      <c r="J432" s="16"/>
      <c r="K432" s="16"/>
      <c r="L432" s="16"/>
      <c r="M432" s="15"/>
      <c r="N432" s="16"/>
      <c r="O432" s="16"/>
      <c r="P432" s="16"/>
      <c r="Q432" s="16"/>
      <c r="R432" s="16"/>
      <c r="S432" s="16"/>
      <c r="T432" s="16"/>
      <c r="U432" s="16"/>
      <c r="V432" s="16"/>
    </row>
    <row r="433" spans="1:22" ht="13.2">
      <c r="A433" s="12"/>
      <c r="B433" s="46"/>
      <c r="C433" s="12"/>
      <c r="D433" s="15"/>
      <c r="E433" s="15"/>
      <c r="F433" s="15"/>
      <c r="G433" s="16"/>
      <c r="H433" s="16"/>
      <c r="I433" s="16"/>
      <c r="J433" s="16"/>
      <c r="K433" s="16"/>
      <c r="L433" s="16"/>
      <c r="M433" s="15"/>
      <c r="N433" s="16"/>
      <c r="O433" s="16"/>
      <c r="P433" s="16"/>
      <c r="Q433" s="16"/>
      <c r="R433" s="16"/>
      <c r="S433" s="16"/>
      <c r="T433" s="16"/>
      <c r="U433" s="16"/>
      <c r="V433" s="16"/>
    </row>
    <row r="434" spans="1:22" ht="13.2">
      <c r="A434" s="12"/>
      <c r="B434" s="46"/>
      <c r="C434" s="12"/>
      <c r="D434" s="15"/>
      <c r="E434" s="15"/>
      <c r="F434" s="15"/>
      <c r="G434" s="16"/>
      <c r="H434" s="16"/>
      <c r="I434" s="16"/>
      <c r="J434" s="16"/>
      <c r="K434" s="16"/>
      <c r="L434" s="16"/>
      <c r="M434" s="15"/>
      <c r="N434" s="16"/>
      <c r="O434" s="16"/>
      <c r="P434" s="16"/>
      <c r="Q434" s="16"/>
      <c r="R434" s="16"/>
      <c r="S434" s="16"/>
      <c r="T434" s="16"/>
      <c r="U434" s="16"/>
      <c r="V434" s="16"/>
    </row>
    <row r="435" spans="1:22" ht="13.2">
      <c r="A435" s="12"/>
      <c r="B435" s="46"/>
      <c r="C435" s="12"/>
      <c r="D435" s="15"/>
      <c r="E435" s="15"/>
      <c r="F435" s="15"/>
      <c r="G435" s="16"/>
      <c r="H435" s="16"/>
      <c r="I435" s="16"/>
      <c r="J435" s="16"/>
      <c r="K435" s="16"/>
      <c r="L435" s="16"/>
      <c r="M435" s="15"/>
      <c r="N435" s="16"/>
      <c r="O435" s="16"/>
      <c r="P435" s="16"/>
      <c r="Q435" s="16"/>
      <c r="R435" s="16"/>
      <c r="S435" s="16"/>
      <c r="T435" s="16"/>
      <c r="U435" s="16"/>
      <c r="V435" s="16"/>
    </row>
    <row r="436" spans="1:22" ht="13.2">
      <c r="A436" s="12"/>
      <c r="B436" s="46"/>
      <c r="C436" s="12"/>
      <c r="D436" s="15"/>
      <c r="E436" s="15"/>
      <c r="F436" s="15"/>
      <c r="G436" s="16"/>
      <c r="H436" s="16"/>
      <c r="I436" s="16"/>
      <c r="J436" s="16"/>
      <c r="K436" s="16"/>
      <c r="L436" s="16"/>
      <c r="M436" s="15"/>
      <c r="N436" s="16"/>
      <c r="O436" s="16"/>
      <c r="P436" s="16"/>
      <c r="Q436" s="16"/>
      <c r="R436" s="16"/>
      <c r="S436" s="16"/>
      <c r="T436" s="16"/>
      <c r="U436" s="16"/>
      <c r="V436" s="16"/>
    </row>
    <row r="437" spans="1:22" ht="13.2">
      <c r="A437" s="12"/>
      <c r="B437" s="46"/>
      <c r="C437" s="12"/>
      <c r="D437" s="15"/>
      <c r="E437" s="15"/>
      <c r="F437" s="15"/>
      <c r="G437" s="16"/>
      <c r="H437" s="16"/>
      <c r="I437" s="16"/>
      <c r="J437" s="16"/>
      <c r="K437" s="16"/>
      <c r="L437" s="16"/>
      <c r="M437" s="15"/>
      <c r="N437" s="16"/>
      <c r="O437" s="16"/>
      <c r="P437" s="16"/>
      <c r="Q437" s="16"/>
      <c r="R437" s="16"/>
      <c r="S437" s="16"/>
      <c r="T437" s="16"/>
      <c r="U437" s="16"/>
      <c r="V437" s="16"/>
    </row>
    <row r="438" spans="1:22" ht="13.2">
      <c r="A438" s="12"/>
      <c r="B438" s="46"/>
      <c r="C438" s="12"/>
      <c r="D438" s="15"/>
      <c r="E438" s="15"/>
      <c r="F438" s="15"/>
      <c r="G438" s="16"/>
      <c r="H438" s="16"/>
      <c r="I438" s="16"/>
      <c r="J438" s="16"/>
      <c r="K438" s="16"/>
      <c r="L438" s="16"/>
      <c r="M438" s="15"/>
      <c r="N438" s="16"/>
      <c r="O438" s="16"/>
      <c r="P438" s="16"/>
      <c r="Q438" s="16"/>
      <c r="R438" s="16"/>
      <c r="S438" s="16"/>
      <c r="T438" s="16"/>
      <c r="U438" s="16"/>
      <c r="V438" s="16"/>
    </row>
    <row r="439" spans="1:22" ht="13.2">
      <c r="A439" s="12"/>
      <c r="B439" s="46"/>
      <c r="C439" s="12"/>
      <c r="D439" s="15"/>
      <c r="E439" s="15"/>
      <c r="F439" s="15"/>
      <c r="G439" s="16"/>
      <c r="H439" s="16"/>
      <c r="I439" s="16"/>
      <c r="J439" s="16"/>
      <c r="K439" s="16"/>
      <c r="L439" s="16"/>
      <c r="M439" s="15"/>
      <c r="N439" s="16"/>
      <c r="O439" s="16"/>
      <c r="P439" s="16"/>
      <c r="Q439" s="16"/>
      <c r="R439" s="16"/>
      <c r="S439" s="16"/>
      <c r="T439" s="16"/>
      <c r="U439" s="16"/>
      <c r="V439" s="16"/>
    </row>
    <row r="440" spans="1:22" ht="13.2">
      <c r="A440" s="12"/>
      <c r="B440" s="46"/>
      <c r="C440" s="12"/>
      <c r="D440" s="15"/>
      <c r="E440" s="15"/>
      <c r="F440" s="15"/>
      <c r="G440" s="16"/>
      <c r="H440" s="16"/>
      <c r="I440" s="16"/>
      <c r="J440" s="16"/>
      <c r="K440" s="16"/>
      <c r="L440" s="16"/>
      <c r="M440" s="15"/>
      <c r="N440" s="16"/>
      <c r="O440" s="16"/>
      <c r="P440" s="16"/>
      <c r="Q440" s="16"/>
      <c r="R440" s="16"/>
      <c r="S440" s="16"/>
      <c r="T440" s="16"/>
      <c r="U440" s="16"/>
      <c r="V440" s="16"/>
    </row>
    <row r="441" spans="1:22" ht="13.2">
      <c r="A441" s="12"/>
      <c r="B441" s="46"/>
      <c r="C441" s="12"/>
      <c r="D441" s="15"/>
      <c r="E441" s="15"/>
      <c r="F441" s="15"/>
      <c r="G441" s="16"/>
      <c r="H441" s="16"/>
      <c r="I441" s="16"/>
      <c r="J441" s="16"/>
      <c r="K441" s="16"/>
      <c r="L441" s="16"/>
      <c r="M441" s="15"/>
      <c r="N441" s="16"/>
      <c r="O441" s="16"/>
      <c r="P441" s="16"/>
      <c r="Q441" s="16"/>
      <c r="R441" s="16"/>
      <c r="S441" s="16"/>
      <c r="T441" s="16"/>
      <c r="U441" s="16"/>
      <c r="V441" s="16"/>
    </row>
    <row r="442" spans="1:22" ht="13.2">
      <c r="A442" s="12"/>
      <c r="B442" s="46"/>
      <c r="C442" s="12"/>
      <c r="D442" s="15"/>
      <c r="E442" s="15"/>
      <c r="F442" s="15"/>
      <c r="G442" s="16"/>
      <c r="H442" s="16"/>
      <c r="I442" s="16"/>
      <c r="J442" s="16"/>
      <c r="K442" s="16"/>
      <c r="L442" s="16"/>
      <c r="M442" s="15"/>
      <c r="N442" s="16"/>
      <c r="O442" s="16"/>
      <c r="P442" s="16"/>
      <c r="Q442" s="16"/>
      <c r="R442" s="16"/>
      <c r="S442" s="16"/>
      <c r="T442" s="16"/>
      <c r="U442" s="16"/>
      <c r="V442" s="16"/>
    </row>
    <row r="443" spans="1:22" ht="13.2">
      <c r="A443" s="12"/>
      <c r="B443" s="46"/>
      <c r="C443" s="12"/>
      <c r="D443" s="15"/>
      <c r="E443" s="15"/>
      <c r="F443" s="15"/>
      <c r="G443" s="16"/>
      <c r="H443" s="16"/>
      <c r="I443" s="16"/>
      <c r="J443" s="16"/>
      <c r="K443" s="16"/>
      <c r="L443" s="16"/>
      <c r="M443" s="15"/>
      <c r="N443" s="16"/>
      <c r="O443" s="16"/>
      <c r="P443" s="16"/>
      <c r="Q443" s="16"/>
      <c r="R443" s="16"/>
      <c r="S443" s="16"/>
      <c r="T443" s="16"/>
      <c r="U443" s="16"/>
      <c r="V443" s="16"/>
    </row>
    <row r="444" spans="1:22" ht="13.2">
      <c r="A444" s="12"/>
      <c r="B444" s="46"/>
      <c r="C444" s="12"/>
      <c r="D444" s="15"/>
      <c r="E444" s="15"/>
      <c r="F444" s="15"/>
      <c r="G444" s="16"/>
      <c r="H444" s="16"/>
      <c r="I444" s="16"/>
      <c r="J444" s="16"/>
      <c r="K444" s="16"/>
      <c r="L444" s="16"/>
      <c r="M444" s="15"/>
      <c r="N444" s="16"/>
      <c r="O444" s="16"/>
      <c r="P444" s="16"/>
      <c r="Q444" s="16"/>
      <c r="R444" s="16"/>
      <c r="S444" s="16"/>
      <c r="T444" s="16"/>
      <c r="U444" s="16"/>
      <c r="V444" s="16"/>
    </row>
    <row r="445" spans="1:22" ht="13.2">
      <c r="A445" s="12"/>
      <c r="B445" s="46"/>
      <c r="C445" s="12"/>
      <c r="D445" s="15"/>
      <c r="E445" s="15"/>
      <c r="F445" s="15"/>
      <c r="G445" s="16"/>
      <c r="H445" s="16"/>
      <c r="I445" s="16"/>
      <c r="J445" s="16"/>
      <c r="K445" s="16"/>
      <c r="L445" s="16"/>
      <c r="M445" s="15"/>
      <c r="N445" s="16"/>
      <c r="O445" s="16"/>
      <c r="P445" s="16"/>
      <c r="Q445" s="16"/>
      <c r="R445" s="16"/>
      <c r="S445" s="16"/>
      <c r="T445" s="16"/>
      <c r="U445" s="16"/>
      <c r="V445" s="16"/>
    </row>
    <row r="446" spans="1:22" ht="13.2">
      <c r="A446" s="12"/>
      <c r="B446" s="46"/>
      <c r="C446" s="12"/>
      <c r="D446" s="15"/>
      <c r="E446" s="15"/>
      <c r="F446" s="15"/>
      <c r="G446" s="16"/>
      <c r="H446" s="16"/>
      <c r="I446" s="16"/>
      <c r="J446" s="16"/>
      <c r="K446" s="16"/>
      <c r="L446" s="16"/>
      <c r="M446" s="15"/>
      <c r="N446" s="16"/>
      <c r="O446" s="16"/>
      <c r="P446" s="16"/>
      <c r="Q446" s="16"/>
      <c r="R446" s="16"/>
      <c r="S446" s="16"/>
      <c r="T446" s="16"/>
      <c r="U446" s="16"/>
      <c r="V446" s="16"/>
    </row>
    <row r="447" spans="1:22" ht="13.2">
      <c r="A447" s="12"/>
      <c r="B447" s="46"/>
      <c r="C447" s="12"/>
      <c r="D447" s="15"/>
      <c r="E447" s="15"/>
      <c r="F447" s="15"/>
      <c r="G447" s="16"/>
      <c r="H447" s="16"/>
      <c r="I447" s="16"/>
      <c r="J447" s="16"/>
      <c r="K447" s="16"/>
      <c r="L447" s="16"/>
      <c r="M447" s="15"/>
      <c r="N447" s="16"/>
      <c r="O447" s="16"/>
      <c r="P447" s="16"/>
      <c r="Q447" s="16"/>
      <c r="R447" s="16"/>
      <c r="S447" s="16"/>
      <c r="T447" s="16"/>
      <c r="U447" s="16"/>
      <c r="V447" s="16"/>
    </row>
    <row r="448" spans="1:22" ht="13.2">
      <c r="A448" s="12"/>
      <c r="B448" s="46"/>
      <c r="C448" s="12"/>
      <c r="D448" s="15"/>
      <c r="E448" s="15"/>
      <c r="F448" s="15"/>
      <c r="G448" s="16"/>
      <c r="H448" s="16"/>
      <c r="I448" s="16"/>
      <c r="J448" s="16"/>
      <c r="K448" s="16"/>
      <c r="L448" s="16"/>
      <c r="M448" s="15"/>
      <c r="N448" s="16"/>
      <c r="O448" s="16"/>
      <c r="P448" s="16"/>
      <c r="Q448" s="16"/>
      <c r="R448" s="16"/>
      <c r="S448" s="16"/>
      <c r="T448" s="16"/>
      <c r="U448" s="16"/>
      <c r="V448" s="16"/>
    </row>
    <row r="449" spans="1:22" ht="13.2">
      <c r="A449" s="12"/>
      <c r="B449" s="46"/>
      <c r="C449" s="12"/>
      <c r="D449" s="15"/>
      <c r="E449" s="15"/>
      <c r="F449" s="15"/>
      <c r="G449" s="16"/>
      <c r="H449" s="16"/>
      <c r="I449" s="16"/>
      <c r="J449" s="16"/>
      <c r="K449" s="16"/>
      <c r="L449" s="16"/>
      <c r="M449" s="15"/>
      <c r="N449" s="16"/>
      <c r="O449" s="16"/>
      <c r="P449" s="16"/>
      <c r="Q449" s="16"/>
      <c r="R449" s="16"/>
      <c r="S449" s="16"/>
      <c r="T449" s="16"/>
      <c r="U449" s="16"/>
      <c r="V449" s="16"/>
    </row>
    <row r="450" spans="1:22" ht="13.2">
      <c r="A450" s="12"/>
      <c r="B450" s="46"/>
      <c r="C450" s="12"/>
      <c r="D450" s="15"/>
      <c r="E450" s="15"/>
      <c r="F450" s="15"/>
      <c r="G450" s="16"/>
      <c r="H450" s="16"/>
      <c r="I450" s="16"/>
      <c r="J450" s="16"/>
      <c r="K450" s="16"/>
      <c r="L450" s="16"/>
      <c r="M450" s="15"/>
      <c r="N450" s="16"/>
      <c r="O450" s="16"/>
      <c r="P450" s="16"/>
      <c r="Q450" s="16"/>
      <c r="R450" s="16"/>
      <c r="S450" s="16"/>
      <c r="T450" s="16"/>
      <c r="U450" s="16"/>
      <c r="V450" s="16"/>
    </row>
    <row r="451" spans="1:22" ht="13.2">
      <c r="A451" s="12"/>
      <c r="B451" s="46"/>
      <c r="C451" s="12"/>
      <c r="D451" s="15"/>
      <c r="E451" s="15"/>
      <c r="F451" s="15"/>
      <c r="G451" s="16"/>
      <c r="H451" s="16"/>
      <c r="I451" s="16"/>
      <c r="J451" s="16"/>
      <c r="K451" s="16"/>
      <c r="L451" s="16"/>
      <c r="M451" s="15"/>
      <c r="N451" s="16"/>
      <c r="O451" s="16"/>
      <c r="P451" s="16"/>
      <c r="Q451" s="16"/>
      <c r="R451" s="16"/>
      <c r="S451" s="16"/>
      <c r="T451" s="16"/>
      <c r="U451" s="16"/>
      <c r="V451" s="16"/>
    </row>
    <row r="452" spans="1:22" ht="13.2">
      <c r="A452" s="12"/>
      <c r="B452" s="46"/>
      <c r="C452" s="12"/>
      <c r="D452" s="15"/>
      <c r="E452" s="15"/>
      <c r="F452" s="15"/>
      <c r="G452" s="16"/>
      <c r="H452" s="16"/>
      <c r="I452" s="16"/>
      <c r="J452" s="16"/>
      <c r="K452" s="16"/>
      <c r="L452" s="16"/>
      <c r="M452" s="15"/>
      <c r="N452" s="16"/>
      <c r="O452" s="16"/>
      <c r="P452" s="16"/>
      <c r="Q452" s="16"/>
      <c r="R452" s="16"/>
      <c r="S452" s="16"/>
      <c r="T452" s="16"/>
      <c r="U452" s="16"/>
      <c r="V452" s="16"/>
    </row>
    <row r="453" spans="1:22" ht="13.2">
      <c r="A453" s="12"/>
      <c r="B453" s="46"/>
      <c r="C453" s="12"/>
      <c r="D453" s="15"/>
      <c r="E453" s="15"/>
      <c r="F453" s="15"/>
      <c r="G453" s="16"/>
      <c r="H453" s="16"/>
      <c r="I453" s="16"/>
      <c r="J453" s="16"/>
      <c r="K453" s="16"/>
      <c r="L453" s="16"/>
      <c r="M453" s="15"/>
      <c r="N453" s="16"/>
      <c r="O453" s="16"/>
      <c r="P453" s="16"/>
      <c r="Q453" s="16"/>
      <c r="R453" s="16"/>
      <c r="S453" s="16"/>
      <c r="T453" s="16"/>
      <c r="U453" s="16"/>
      <c r="V453" s="16"/>
    </row>
    <row r="454" spans="1:22" ht="13.2">
      <c r="A454" s="12"/>
      <c r="B454" s="46"/>
      <c r="C454" s="12"/>
      <c r="D454" s="15"/>
      <c r="E454" s="15"/>
      <c r="F454" s="15"/>
      <c r="G454" s="16"/>
      <c r="H454" s="16"/>
      <c r="I454" s="16"/>
      <c r="J454" s="16"/>
      <c r="K454" s="16"/>
      <c r="L454" s="16"/>
      <c r="M454" s="15"/>
      <c r="N454" s="16"/>
      <c r="O454" s="16"/>
      <c r="P454" s="16"/>
      <c r="Q454" s="16"/>
      <c r="R454" s="16"/>
      <c r="S454" s="16"/>
      <c r="T454" s="16"/>
      <c r="U454" s="16"/>
      <c r="V454" s="16"/>
    </row>
    <row r="455" spans="1:22" ht="13.2">
      <c r="A455" s="12"/>
      <c r="B455" s="46"/>
      <c r="C455" s="12"/>
      <c r="D455" s="15"/>
      <c r="E455" s="15"/>
      <c r="F455" s="15"/>
      <c r="G455" s="16"/>
      <c r="H455" s="16"/>
      <c r="I455" s="16"/>
      <c r="J455" s="16"/>
      <c r="K455" s="16"/>
      <c r="L455" s="16"/>
      <c r="M455" s="15"/>
      <c r="N455" s="16"/>
      <c r="O455" s="16"/>
      <c r="P455" s="16"/>
      <c r="Q455" s="16"/>
      <c r="R455" s="16"/>
      <c r="S455" s="16"/>
      <c r="T455" s="16"/>
      <c r="U455" s="16"/>
      <c r="V455" s="16"/>
    </row>
    <row r="456" spans="1:22" ht="13.2">
      <c r="A456" s="12"/>
      <c r="B456" s="46"/>
      <c r="C456" s="12"/>
      <c r="D456" s="15"/>
      <c r="E456" s="15"/>
      <c r="F456" s="15"/>
      <c r="G456" s="16"/>
      <c r="H456" s="16"/>
      <c r="I456" s="16"/>
      <c r="J456" s="16"/>
      <c r="K456" s="16"/>
      <c r="L456" s="16"/>
      <c r="M456" s="15"/>
      <c r="N456" s="16"/>
      <c r="O456" s="16"/>
      <c r="P456" s="16"/>
      <c r="Q456" s="16"/>
      <c r="R456" s="16"/>
      <c r="S456" s="16"/>
      <c r="T456" s="16"/>
      <c r="U456" s="16"/>
      <c r="V456" s="16"/>
    </row>
    <row r="457" spans="1:22" ht="13.2">
      <c r="A457" s="12"/>
      <c r="B457" s="46"/>
      <c r="C457" s="12"/>
      <c r="D457" s="15"/>
      <c r="E457" s="15"/>
      <c r="F457" s="15"/>
      <c r="G457" s="16"/>
      <c r="H457" s="16"/>
      <c r="I457" s="16"/>
      <c r="J457" s="16"/>
      <c r="K457" s="16"/>
      <c r="L457" s="16"/>
      <c r="M457" s="15"/>
      <c r="N457" s="16"/>
      <c r="O457" s="16"/>
      <c r="P457" s="16"/>
      <c r="Q457" s="16"/>
      <c r="R457" s="16"/>
      <c r="S457" s="16"/>
      <c r="T457" s="16"/>
      <c r="U457" s="16"/>
      <c r="V457" s="16"/>
    </row>
    <row r="458" spans="1:22" ht="13.2">
      <c r="A458" s="12"/>
      <c r="B458" s="46"/>
      <c r="C458" s="12"/>
      <c r="D458" s="15"/>
      <c r="E458" s="15"/>
      <c r="F458" s="15"/>
      <c r="G458" s="16"/>
      <c r="H458" s="16"/>
      <c r="I458" s="16"/>
      <c r="J458" s="16"/>
      <c r="K458" s="16"/>
      <c r="L458" s="16"/>
      <c r="M458" s="15"/>
      <c r="N458" s="16"/>
      <c r="O458" s="16"/>
      <c r="P458" s="16"/>
      <c r="Q458" s="16"/>
      <c r="R458" s="16"/>
      <c r="S458" s="16"/>
      <c r="T458" s="16"/>
      <c r="U458" s="16"/>
      <c r="V458" s="16"/>
    </row>
    <row r="459" spans="1:22" ht="13.2">
      <c r="A459" s="12"/>
      <c r="B459" s="46"/>
      <c r="C459" s="12"/>
      <c r="D459" s="15"/>
      <c r="E459" s="15"/>
      <c r="F459" s="15"/>
      <c r="G459" s="16"/>
      <c r="H459" s="16"/>
      <c r="I459" s="16"/>
      <c r="J459" s="16"/>
      <c r="K459" s="16"/>
      <c r="L459" s="16"/>
      <c r="M459" s="15"/>
      <c r="N459" s="16"/>
      <c r="O459" s="16"/>
      <c r="P459" s="16"/>
      <c r="Q459" s="16"/>
      <c r="R459" s="16"/>
      <c r="S459" s="16"/>
      <c r="T459" s="16"/>
      <c r="U459" s="16"/>
      <c r="V459" s="16"/>
    </row>
    <row r="460" spans="1:22" ht="13.2">
      <c r="A460" s="12"/>
      <c r="B460" s="46"/>
      <c r="C460" s="12"/>
      <c r="D460" s="15"/>
      <c r="E460" s="15"/>
      <c r="F460" s="15"/>
      <c r="G460" s="16"/>
      <c r="H460" s="16"/>
      <c r="I460" s="16"/>
      <c r="J460" s="16"/>
      <c r="K460" s="16"/>
      <c r="L460" s="16"/>
      <c r="M460" s="15"/>
      <c r="N460" s="16"/>
      <c r="O460" s="16"/>
      <c r="P460" s="16"/>
      <c r="Q460" s="16"/>
      <c r="R460" s="16"/>
      <c r="S460" s="16"/>
      <c r="T460" s="16"/>
      <c r="U460" s="16"/>
      <c r="V460" s="16"/>
    </row>
    <row r="461" spans="1:22" ht="13.2">
      <c r="A461" s="12"/>
      <c r="B461" s="46"/>
      <c r="C461" s="12"/>
      <c r="D461" s="15"/>
      <c r="E461" s="15"/>
      <c r="F461" s="15"/>
      <c r="G461" s="16"/>
      <c r="H461" s="16"/>
      <c r="I461" s="16"/>
      <c r="J461" s="16"/>
      <c r="K461" s="16"/>
      <c r="L461" s="16"/>
      <c r="M461" s="15"/>
      <c r="N461" s="16"/>
      <c r="O461" s="16"/>
      <c r="P461" s="16"/>
      <c r="Q461" s="16"/>
      <c r="R461" s="16"/>
      <c r="S461" s="16"/>
      <c r="T461" s="16"/>
      <c r="U461" s="16"/>
      <c r="V461" s="16"/>
    </row>
    <row r="462" spans="1:22" ht="13.2">
      <c r="A462" s="12"/>
      <c r="B462" s="46"/>
      <c r="C462" s="12"/>
      <c r="D462" s="15"/>
      <c r="E462" s="15"/>
      <c r="F462" s="15"/>
      <c r="G462" s="16"/>
      <c r="H462" s="16"/>
      <c r="I462" s="16"/>
      <c r="J462" s="16"/>
      <c r="K462" s="16"/>
      <c r="L462" s="16"/>
      <c r="M462" s="15"/>
      <c r="N462" s="16"/>
      <c r="O462" s="16"/>
      <c r="P462" s="16"/>
      <c r="Q462" s="16"/>
      <c r="R462" s="16"/>
      <c r="S462" s="16"/>
      <c r="T462" s="16"/>
      <c r="U462" s="16"/>
      <c r="V462" s="16"/>
    </row>
    <row r="463" spans="1:22" ht="13.2">
      <c r="A463" s="12"/>
      <c r="B463" s="46"/>
      <c r="C463" s="12"/>
      <c r="D463" s="15"/>
      <c r="E463" s="15"/>
      <c r="F463" s="15"/>
      <c r="G463" s="16"/>
      <c r="H463" s="16"/>
      <c r="I463" s="16"/>
      <c r="J463" s="16"/>
      <c r="K463" s="16"/>
      <c r="L463" s="16"/>
      <c r="M463" s="15"/>
      <c r="N463" s="16"/>
      <c r="O463" s="16"/>
      <c r="P463" s="16"/>
      <c r="Q463" s="16"/>
      <c r="R463" s="16"/>
      <c r="S463" s="16"/>
      <c r="T463" s="16"/>
      <c r="U463" s="16"/>
      <c r="V463" s="16"/>
    </row>
    <row r="464" spans="1:22" ht="13.2">
      <c r="A464" s="12"/>
      <c r="B464" s="46"/>
      <c r="C464" s="12"/>
      <c r="D464" s="15"/>
      <c r="E464" s="15"/>
      <c r="F464" s="15"/>
      <c r="G464" s="16"/>
      <c r="H464" s="16"/>
      <c r="I464" s="16"/>
      <c r="J464" s="16"/>
      <c r="K464" s="16"/>
      <c r="L464" s="16"/>
      <c r="M464" s="15"/>
      <c r="N464" s="16"/>
      <c r="O464" s="16"/>
      <c r="P464" s="16"/>
      <c r="Q464" s="16"/>
      <c r="R464" s="16"/>
      <c r="S464" s="16"/>
      <c r="T464" s="16"/>
      <c r="U464" s="16"/>
      <c r="V464" s="16"/>
    </row>
    <row r="465" spans="1:22" ht="13.2">
      <c r="A465" s="12"/>
      <c r="B465" s="46"/>
      <c r="C465" s="12"/>
      <c r="D465" s="15"/>
      <c r="E465" s="15"/>
      <c r="F465" s="15"/>
      <c r="G465" s="16"/>
      <c r="H465" s="16"/>
      <c r="I465" s="16"/>
      <c r="J465" s="16"/>
      <c r="K465" s="16"/>
      <c r="L465" s="16"/>
      <c r="M465" s="15"/>
      <c r="N465" s="16"/>
      <c r="O465" s="16"/>
      <c r="P465" s="16"/>
      <c r="Q465" s="16"/>
      <c r="R465" s="16"/>
      <c r="S465" s="16"/>
      <c r="T465" s="16"/>
      <c r="U465" s="16"/>
      <c r="V465" s="16"/>
    </row>
    <row r="466" spans="1:22" ht="13.2">
      <c r="A466" s="12"/>
      <c r="B466" s="46"/>
      <c r="C466" s="12"/>
      <c r="D466" s="15"/>
      <c r="E466" s="15"/>
      <c r="F466" s="15"/>
      <c r="G466" s="16"/>
      <c r="H466" s="16"/>
      <c r="I466" s="16"/>
      <c r="J466" s="16"/>
      <c r="K466" s="16"/>
      <c r="L466" s="16"/>
      <c r="M466" s="15"/>
      <c r="N466" s="16"/>
      <c r="O466" s="16"/>
      <c r="P466" s="16"/>
      <c r="Q466" s="16"/>
      <c r="R466" s="16"/>
      <c r="S466" s="16"/>
      <c r="T466" s="16"/>
      <c r="U466" s="16"/>
      <c r="V466" s="16"/>
    </row>
    <row r="467" spans="1:22" ht="13.2">
      <c r="A467" s="12"/>
      <c r="B467" s="46"/>
      <c r="C467" s="12"/>
      <c r="D467" s="15"/>
      <c r="E467" s="15"/>
      <c r="F467" s="15"/>
      <c r="G467" s="16"/>
      <c r="H467" s="16"/>
      <c r="I467" s="16"/>
      <c r="J467" s="16"/>
      <c r="K467" s="16"/>
      <c r="L467" s="16"/>
      <c r="M467" s="15"/>
      <c r="N467" s="16"/>
      <c r="O467" s="16"/>
      <c r="P467" s="16"/>
      <c r="Q467" s="16"/>
      <c r="R467" s="16"/>
      <c r="S467" s="16"/>
      <c r="T467" s="16"/>
      <c r="U467" s="16"/>
      <c r="V467" s="16"/>
    </row>
    <row r="468" spans="1:22" ht="13.2">
      <c r="A468" s="12"/>
      <c r="B468" s="46"/>
      <c r="C468" s="12"/>
      <c r="D468" s="15"/>
      <c r="E468" s="15"/>
      <c r="F468" s="15"/>
      <c r="G468" s="16"/>
      <c r="H468" s="16"/>
      <c r="I468" s="16"/>
      <c r="J468" s="16"/>
      <c r="K468" s="16"/>
      <c r="L468" s="16"/>
      <c r="M468" s="15"/>
      <c r="N468" s="16"/>
      <c r="O468" s="16"/>
      <c r="P468" s="16"/>
      <c r="Q468" s="16"/>
      <c r="R468" s="16"/>
      <c r="S468" s="16"/>
      <c r="T468" s="16"/>
      <c r="U468" s="16"/>
      <c r="V468" s="16"/>
    </row>
    <row r="469" spans="1:22" ht="13.2">
      <c r="A469" s="12"/>
      <c r="B469" s="46"/>
      <c r="C469" s="12"/>
      <c r="D469" s="15"/>
      <c r="E469" s="15"/>
      <c r="F469" s="15"/>
      <c r="G469" s="16"/>
      <c r="H469" s="16"/>
      <c r="I469" s="16"/>
      <c r="J469" s="16"/>
      <c r="K469" s="16"/>
      <c r="L469" s="16"/>
      <c r="M469" s="15"/>
      <c r="N469" s="16"/>
      <c r="O469" s="16"/>
      <c r="P469" s="16"/>
      <c r="Q469" s="16"/>
      <c r="R469" s="16"/>
      <c r="S469" s="16"/>
      <c r="T469" s="16"/>
      <c r="U469" s="16"/>
      <c r="V469" s="16"/>
    </row>
    <row r="470" spans="1:22" ht="13.2">
      <c r="A470" s="12"/>
      <c r="B470" s="46"/>
      <c r="C470" s="12"/>
      <c r="D470" s="15"/>
      <c r="E470" s="15"/>
      <c r="F470" s="15"/>
      <c r="G470" s="16"/>
      <c r="H470" s="16"/>
      <c r="I470" s="16"/>
      <c r="J470" s="16"/>
      <c r="K470" s="16"/>
      <c r="L470" s="16"/>
      <c r="M470" s="15"/>
      <c r="N470" s="16"/>
      <c r="O470" s="16"/>
      <c r="P470" s="16"/>
      <c r="Q470" s="16"/>
      <c r="R470" s="16"/>
      <c r="S470" s="16"/>
      <c r="T470" s="16"/>
      <c r="U470" s="16"/>
      <c r="V470" s="16"/>
    </row>
    <row r="471" spans="1:22" ht="13.2">
      <c r="A471" s="12"/>
      <c r="B471" s="46"/>
      <c r="C471" s="12"/>
      <c r="D471" s="15"/>
      <c r="E471" s="15"/>
      <c r="F471" s="15"/>
      <c r="G471" s="16"/>
      <c r="H471" s="16"/>
      <c r="I471" s="16"/>
      <c r="J471" s="16"/>
      <c r="K471" s="16"/>
      <c r="L471" s="16"/>
      <c r="M471" s="15"/>
      <c r="N471" s="16"/>
      <c r="O471" s="16"/>
      <c r="P471" s="16"/>
      <c r="Q471" s="16"/>
      <c r="R471" s="16"/>
      <c r="S471" s="16"/>
      <c r="T471" s="16"/>
      <c r="U471" s="16"/>
      <c r="V471" s="16"/>
    </row>
    <row r="472" spans="1:22" ht="13.2">
      <c r="A472" s="12"/>
      <c r="B472" s="46"/>
      <c r="C472" s="12"/>
      <c r="D472" s="15"/>
      <c r="E472" s="15"/>
      <c r="F472" s="15"/>
      <c r="G472" s="16"/>
      <c r="H472" s="16"/>
      <c r="I472" s="16"/>
      <c r="J472" s="16"/>
      <c r="K472" s="16"/>
      <c r="L472" s="16"/>
      <c r="M472" s="15"/>
      <c r="N472" s="16"/>
      <c r="O472" s="16"/>
      <c r="P472" s="16"/>
      <c r="Q472" s="16"/>
      <c r="R472" s="16"/>
      <c r="S472" s="16"/>
      <c r="T472" s="16"/>
      <c r="U472" s="16"/>
      <c r="V472" s="16"/>
    </row>
    <row r="473" spans="1:22" ht="13.2">
      <c r="A473" s="12"/>
      <c r="B473" s="46"/>
      <c r="C473" s="12"/>
      <c r="D473" s="15"/>
      <c r="E473" s="15"/>
      <c r="F473" s="15"/>
      <c r="G473" s="16"/>
      <c r="H473" s="16"/>
      <c r="I473" s="16"/>
      <c r="J473" s="16"/>
      <c r="K473" s="16"/>
      <c r="L473" s="16"/>
      <c r="M473" s="15"/>
      <c r="N473" s="16"/>
      <c r="O473" s="16"/>
      <c r="P473" s="16"/>
      <c r="Q473" s="16"/>
      <c r="R473" s="16"/>
      <c r="S473" s="16"/>
      <c r="T473" s="16"/>
      <c r="U473" s="16"/>
      <c r="V473" s="16"/>
    </row>
    <row r="474" spans="1:22" ht="13.2">
      <c r="A474" s="12"/>
      <c r="B474" s="46"/>
      <c r="C474" s="12"/>
      <c r="D474" s="15"/>
      <c r="E474" s="15"/>
      <c r="F474" s="15"/>
      <c r="G474" s="16"/>
      <c r="H474" s="16"/>
      <c r="I474" s="16"/>
      <c r="J474" s="16"/>
      <c r="K474" s="16"/>
      <c r="L474" s="16"/>
      <c r="M474" s="15"/>
      <c r="N474" s="16"/>
      <c r="O474" s="16"/>
      <c r="P474" s="16"/>
      <c r="Q474" s="16"/>
      <c r="R474" s="16"/>
      <c r="S474" s="16"/>
      <c r="T474" s="16"/>
      <c r="U474" s="16"/>
      <c r="V474" s="16"/>
    </row>
    <row r="475" spans="1:22" ht="13.2">
      <c r="A475" s="12"/>
      <c r="B475" s="46"/>
      <c r="C475" s="12"/>
      <c r="D475" s="15"/>
      <c r="E475" s="15"/>
      <c r="F475" s="15"/>
      <c r="G475" s="16"/>
      <c r="H475" s="16"/>
      <c r="I475" s="16"/>
      <c r="J475" s="16"/>
      <c r="K475" s="16"/>
      <c r="L475" s="16"/>
      <c r="M475" s="15"/>
      <c r="N475" s="16"/>
      <c r="O475" s="16"/>
      <c r="P475" s="16"/>
      <c r="Q475" s="16"/>
      <c r="R475" s="16"/>
      <c r="S475" s="16"/>
      <c r="T475" s="16"/>
      <c r="U475" s="16"/>
      <c r="V475" s="16"/>
    </row>
    <row r="476" spans="1:22" ht="13.2">
      <c r="A476" s="12"/>
      <c r="B476" s="46"/>
      <c r="C476" s="12"/>
      <c r="D476" s="15"/>
      <c r="E476" s="15"/>
      <c r="F476" s="15"/>
      <c r="G476" s="16"/>
      <c r="H476" s="16"/>
      <c r="I476" s="16"/>
      <c r="J476" s="16"/>
      <c r="K476" s="16"/>
      <c r="L476" s="16"/>
      <c r="M476" s="15"/>
      <c r="N476" s="16"/>
      <c r="O476" s="16"/>
      <c r="P476" s="16"/>
      <c r="Q476" s="16"/>
      <c r="R476" s="16"/>
      <c r="S476" s="16"/>
      <c r="T476" s="16"/>
      <c r="U476" s="16"/>
      <c r="V476" s="16"/>
    </row>
    <row r="477" spans="1:22" ht="13.2">
      <c r="A477" s="12"/>
      <c r="B477" s="46"/>
      <c r="C477" s="12"/>
      <c r="D477" s="15"/>
      <c r="E477" s="15"/>
      <c r="F477" s="15"/>
      <c r="G477" s="16"/>
      <c r="H477" s="16"/>
      <c r="I477" s="16"/>
      <c r="J477" s="16"/>
      <c r="K477" s="16"/>
      <c r="L477" s="16"/>
      <c r="M477" s="15"/>
      <c r="N477" s="16"/>
      <c r="O477" s="16"/>
      <c r="P477" s="16"/>
      <c r="Q477" s="16"/>
      <c r="R477" s="16"/>
      <c r="S477" s="16"/>
      <c r="T477" s="16"/>
      <c r="U477" s="16"/>
      <c r="V477" s="16"/>
    </row>
    <row r="478" spans="1:22" ht="13.2">
      <c r="A478" s="12"/>
      <c r="B478" s="46"/>
      <c r="C478" s="12"/>
      <c r="D478" s="15"/>
      <c r="E478" s="15"/>
      <c r="F478" s="15"/>
      <c r="G478" s="16"/>
      <c r="H478" s="16"/>
      <c r="I478" s="16"/>
      <c r="J478" s="16"/>
      <c r="K478" s="16"/>
      <c r="L478" s="16"/>
      <c r="M478" s="15"/>
      <c r="N478" s="16"/>
      <c r="O478" s="16"/>
      <c r="P478" s="16"/>
      <c r="Q478" s="16"/>
      <c r="R478" s="16"/>
      <c r="S478" s="16"/>
      <c r="T478" s="16"/>
      <c r="U478" s="16"/>
      <c r="V478" s="16"/>
    </row>
    <row r="479" spans="1:22" ht="13.2">
      <c r="A479" s="12"/>
      <c r="B479" s="46"/>
      <c r="C479" s="12"/>
      <c r="D479" s="15"/>
      <c r="E479" s="15"/>
      <c r="F479" s="15"/>
      <c r="G479" s="16"/>
      <c r="H479" s="16"/>
      <c r="I479" s="16"/>
      <c r="J479" s="16"/>
      <c r="K479" s="16"/>
      <c r="L479" s="16"/>
      <c r="M479" s="15"/>
      <c r="N479" s="16"/>
      <c r="O479" s="16"/>
      <c r="P479" s="16"/>
      <c r="Q479" s="16"/>
      <c r="R479" s="16"/>
      <c r="S479" s="16"/>
      <c r="T479" s="16"/>
      <c r="U479" s="16"/>
      <c r="V479" s="16"/>
    </row>
    <row r="480" spans="1:22" ht="13.2">
      <c r="A480" s="12"/>
      <c r="B480" s="46"/>
      <c r="C480" s="12"/>
      <c r="D480" s="15"/>
      <c r="E480" s="15"/>
      <c r="F480" s="15"/>
      <c r="G480" s="16"/>
      <c r="H480" s="16"/>
      <c r="I480" s="16"/>
      <c r="J480" s="16"/>
      <c r="K480" s="16"/>
      <c r="L480" s="16"/>
      <c r="M480" s="15"/>
      <c r="N480" s="16"/>
      <c r="O480" s="16"/>
      <c r="P480" s="16"/>
      <c r="Q480" s="16"/>
      <c r="R480" s="16"/>
      <c r="S480" s="16"/>
      <c r="T480" s="16"/>
      <c r="U480" s="16"/>
      <c r="V480" s="16"/>
    </row>
    <row r="481" spans="1:22" ht="13.2">
      <c r="A481" s="12"/>
      <c r="B481" s="46"/>
      <c r="C481" s="12"/>
      <c r="D481" s="15"/>
      <c r="E481" s="15"/>
      <c r="F481" s="15"/>
      <c r="G481" s="16"/>
      <c r="H481" s="16"/>
      <c r="I481" s="16"/>
      <c r="J481" s="16"/>
      <c r="K481" s="16"/>
      <c r="L481" s="16"/>
      <c r="M481" s="15"/>
      <c r="N481" s="16"/>
      <c r="O481" s="16"/>
      <c r="P481" s="16"/>
      <c r="Q481" s="16"/>
      <c r="R481" s="16"/>
      <c r="S481" s="16"/>
      <c r="T481" s="16"/>
      <c r="U481" s="16"/>
      <c r="V481" s="16"/>
    </row>
    <row r="482" spans="1:22" ht="13.2">
      <c r="A482" s="12"/>
      <c r="B482" s="46"/>
      <c r="C482" s="12"/>
      <c r="D482" s="15"/>
      <c r="E482" s="15"/>
      <c r="F482" s="15"/>
      <c r="G482" s="16"/>
      <c r="H482" s="16"/>
      <c r="I482" s="16"/>
      <c r="J482" s="16"/>
      <c r="K482" s="16"/>
      <c r="L482" s="16"/>
      <c r="M482" s="15"/>
      <c r="N482" s="16"/>
      <c r="O482" s="16"/>
      <c r="P482" s="16"/>
      <c r="Q482" s="16"/>
      <c r="R482" s="16"/>
      <c r="S482" s="16"/>
      <c r="T482" s="16"/>
      <c r="U482" s="16"/>
      <c r="V482" s="16"/>
    </row>
    <row r="483" spans="1:22" ht="13.2">
      <c r="A483" s="12"/>
      <c r="B483" s="46"/>
      <c r="C483" s="12"/>
      <c r="D483" s="15"/>
      <c r="E483" s="15"/>
      <c r="F483" s="15"/>
      <c r="G483" s="16"/>
      <c r="H483" s="16"/>
      <c r="I483" s="16"/>
      <c r="J483" s="16"/>
      <c r="K483" s="16"/>
      <c r="L483" s="16"/>
      <c r="M483" s="15"/>
      <c r="N483" s="16"/>
      <c r="O483" s="16"/>
      <c r="P483" s="16"/>
      <c r="Q483" s="16"/>
      <c r="R483" s="16"/>
      <c r="S483" s="16"/>
      <c r="T483" s="16"/>
      <c r="U483" s="16"/>
      <c r="V483" s="16"/>
    </row>
    <row r="484" spans="1:22" ht="13.2">
      <c r="A484" s="12"/>
      <c r="B484" s="46"/>
      <c r="C484" s="12"/>
      <c r="D484" s="15"/>
      <c r="E484" s="15"/>
      <c r="F484" s="15"/>
      <c r="G484" s="16"/>
      <c r="H484" s="16"/>
      <c r="I484" s="16"/>
      <c r="J484" s="16"/>
      <c r="K484" s="16"/>
      <c r="L484" s="16"/>
      <c r="M484" s="15"/>
      <c r="N484" s="16"/>
      <c r="O484" s="16"/>
      <c r="P484" s="16"/>
      <c r="Q484" s="16"/>
      <c r="R484" s="16"/>
      <c r="S484" s="16"/>
      <c r="T484" s="16"/>
      <c r="U484" s="16"/>
      <c r="V484" s="16"/>
    </row>
    <row r="485" spans="1:22" ht="13.2">
      <c r="A485" s="12"/>
      <c r="B485" s="46"/>
      <c r="C485" s="12"/>
      <c r="D485" s="15"/>
      <c r="E485" s="15"/>
      <c r="F485" s="15"/>
      <c r="G485" s="16"/>
      <c r="H485" s="16"/>
      <c r="I485" s="16"/>
      <c r="J485" s="16"/>
      <c r="K485" s="16"/>
      <c r="L485" s="16"/>
      <c r="M485" s="15"/>
      <c r="N485" s="16"/>
      <c r="O485" s="16"/>
      <c r="P485" s="16"/>
      <c r="Q485" s="16"/>
      <c r="R485" s="16"/>
      <c r="S485" s="16"/>
      <c r="T485" s="16"/>
      <c r="U485" s="16"/>
      <c r="V485" s="16"/>
    </row>
    <row r="486" spans="1:22" ht="13.2">
      <c r="A486" s="12"/>
      <c r="B486" s="46"/>
      <c r="C486" s="12"/>
      <c r="D486" s="15"/>
      <c r="E486" s="15"/>
      <c r="F486" s="15"/>
      <c r="G486" s="16"/>
      <c r="H486" s="16"/>
      <c r="I486" s="16"/>
      <c r="J486" s="16"/>
      <c r="K486" s="16"/>
      <c r="L486" s="16"/>
      <c r="M486" s="15"/>
      <c r="N486" s="16"/>
      <c r="O486" s="16"/>
      <c r="P486" s="16"/>
      <c r="Q486" s="16"/>
      <c r="R486" s="16"/>
      <c r="S486" s="16"/>
      <c r="T486" s="16"/>
      <c r="U486" s="16"/>
      <c r="V486" s="16"/>
    </row>
    <row r="487" spans="1:22" ht="13.2">
      <c r="A487" s="12"/>
      <c r="B487" s="46"/>
      <c r="C487" s="12"/>
      <c r="D487" s="15"/>
      <c r="E487" s="15"/>
      <c r="F487" s="15"/>
      <c r="G487" s="16"/>
      <c r="H487" s="16"/>
      <c r="I487" s="16"/>
      <c r="J487" s="16"/>
      <c r="K487" s="16"/>
      <c r="L487" s="16"/>
      <c r="M487" s="15"/>
      <c r="N487" s="16"/>
      <c r="O487" s="16"/>
      <c r="P487" s="16"/>
      <c r="Q487" s="16"/>
      <c r="R487" s="16"/>
      <c r="S487" s="16"/>
      <c r="T487" s="16"/>
      <c r="U487" s="16"/>
      <c r="V487" s="16"/>
    </row>
    <row r="488" spans="1:22" ht="13.2">
      <c r="A488" s="12"/>
      <c r="B488" s="46"/>
      <c r="C488" s="12"/>
      <c r="D488" s="15"/>
      <c r="E488" s="15"/>
      <c r="F488" s="15"/>
      <c r="G488" s="16"/>
      <c r="H488" s="16"/>
      <c r="I488" s="16"/>
      <c r="J488" s="16"/>
      <c r="K488" s="16"/>
      <c r="L488" s="16"/>
      <c r="M488" s="15"/>
      <c r="N488" s="16"/>
      <c r="O488" s="16"/>
      <c r="P488" s="16"/>
      <c r="Q488" s="16"/>
      <c r="R488" s="16"/>
      <c r="S488" s="16"/>
      <c r="T488" s="16"/>
      <c r="U488" s="16"/>
      <c r="V488" s="16"/>
    </row>
    <row r="489" spans="1:22" ht="13.2">
      <c r="A489" s="12"/>
      <c r="B489" s="46"/>
      <c r="C489" s="12"/>
      <c r="D489" s="15"/>
      <c r="E489" s="15"/>
      <c r="F489" s="15"/>
      <c r="G489" s="16"/>
      <c r="H489" s="16"/>
      <c r="I489" s="16"/>
      <c r="J489" s="16"/>
      <c r="K489" s="16"/>
      <c r="L489" s="16"/>
      <c r="M489" s="15"/>
      <c r="N489" s="16"/>
      <c r="O489" s="16"/>
      <c r="P489" s="16"/>
      <c r="Q489" s="16"/>
      <c r="R489" s="16"/>
      <c r="S489" s="16"/>
      <c r="T489" s="16"/>
      <c r="U489" s="16"/>
      <c r="V489" s="16"/>
    </row>
    <row r="490" spans="1:22" ht="13.2">
      <c r="A490" s="12"/>
      <c r="B490" s="46"/>
      <c r="C490" s="12"/>
      <c r="D490" s="15"/>
      <c r="E490" s="15"/>
      <c r="F490" s="15"/>
      <c r="G490" s="16"/>
      <c r="H490" s="16"/>
      <c r="I490" s="16"/>
      <c r="J490" s="16"/>
      <c r="K490" s="16"/>
      <c r="L490" s="16"/>
      <c r="M490" s="15"/>
      <c r="N490" s="16"/>
      <c r="O490" s="16"/>
      <c r="P490" s="16"/>
      <c r="Q490" s="16"/>
      <c r="R490" s="16"/>
      <c r="S490" s="16"/>
      <c r="T490" s="16"/>
      <c r="U490" s="16"/>
      <c r="V490" s="16"/>
    </row>
    <row r="491" spans="1:22" ht="13.2">
      <c r="A491" s="12"/>
      <c r="B491" s="46"/>
      <c r="C491" s="12"/>
      <c r="D491" s="15"/>
      <c r="E491" s="15"/>
      <c r="F491" s="15"/>
      <c r="G491" s="16"/>
      <c r="H491" s="16"/>
      <c r="I491" s="16"/>
      <c r="J491" s="16"/>
      <c r="K491" s="16"/>
      <c r="L491" s="16"/>
      <c r="M491" s="15"/>
      <c r="N491" s="16"/>
      <c r="O491" s="16"/>
      <c r="P491" s="16"/>
      <c r="Q491" s="16"/>
      <c r="R491" s="16"/>
      <c r="S491" s="16"/>
      <c r="T491" s="16"/>
      <c r="U491" s="16"/>
      <c r="V491" s="16"/>
    </row>
    <row r="492" spans="1:22" ht="13.2">
      <c r="A492" s="12"/>
      <c r="B492" s="46"/>
      <c r="C492" s="12"/>
      <c r="D492" s="15"/>
      <c r="E492" s="15"/>
      <c r="F492" s="15"/>
      <c r="G492" s="16"/>
      <c r="H492" s="16"/>
      <c r="I492" s="16"/>
      <c r="J492" s="16"/>
      <c r="K492" s="16"/>
      <c r="L492" s="16"/>
      <c r="M492" s="15"/>
      <c r="N492" s="16"/>
      <c r="O492" s="16"/>
      <c r="P492" s="16"/>
      <c r="Q492" s="16"/>
      <c r="R492" s="16"/>
      <c r="S492" s="16"/>
      <c r="T492" s="16"/>
      <c r="U492" s="16"/>
      <c r="V492" s="16"/>
    </row>
    <row r="493" spans="1:22" ht="13.2">
      <c r="A493" s="12"/>
      <c r="B493" s="46"/>
      <c r="C493" s="12"/>
      <c r="D493" s="15"/>
      <c r="E493" s="15"/>
      <c r="F493" s="15"/>
      <c r="G493" s="16"/>
      <c r="H493" s="16"/>
      <c r="I493" s="16"/>
      <c r="J493" s="16"/>
      <c r="K493" s="16"/>
      <c r="L493" s="16"/>
      <c r="M493" s="15"/>
      <c r="N493" s="16"/>
      <c r="O493" s="16"/>
      <c r="P493" s="16"/>
      <c r="Q493" s="16"/>
      <c r="R493" s="16"/>
      <c r="S493" s="16"/>
      <c r="T493" s="16"/>
      <c r="U493" s="16"/>
      <c r="V493" s="16"/>
    </row>
    <row r="494" spans="1:22" ht="13.2">
      <c r="A494" s="12"/>
      <c r="B494" s="46"/>
      <c r="C494" s="12"/>
      <c r="D494" s="15"/>
      <c r="E494" s="15"/>
      <c r="F494" s="15"/>
      <c r="G494" s="16"/>
      <c r="H494" s="16"/>
      <c r="I494" s="16"/>
      <c r="J494" s="16"/>
      <c r="K494" s="16"/>
      <c r="L494" s="16"/>
      <c r="M494" s="15"/>
      <c r="N494" s="16"/>
      <c r="O494" s="16"/>
      <c r="P494" s="16"/>
      <c r="Q494" s="16"/>
      <c r="R494" s="16"/>
      <c r="S494" s="16"/>
      <c r="T494" s="16"/>
      <c r="U494" s="16"/>
      <c r="V494" s="16"/>
    </row>
    <row r="495" spans="1:22" ht="13.2">
      <c r="A495" s="12"/>
      <c r="B495" s="46"/>
      <c r="C495" s="12"/>
      <c r="D495" s="15"/>
      <c r="E495" s="15"/>
      <c r="F495" s="15"/>
      <c r="G495" s="16"/>
      <c r="H495" s="16"/>
      <c r="I495" s="16"/>
      <c r="J495" s="16"/>
      <c r="K495" s="16"/>
      <c r="L495" s="16"/>
      <c r="M495" s="15"/>
      <c r="N495" s="16"/>
      <c r="O495" s="16"/>
      <c r="P495" s="16"/>
      <c r="Q495" s="16"/>
      <c r="R495" s="16"/>
      <c r="S495" s="16"/>
      <c r="T495" s="16"/>
      <c r="U495" s="16"/>
      <c r="V495" s="16"/>
    </row>
    <row r="496" spans="1:22" ht="13.2">
      <c r="A496" s="12"/>
      <c r="B496" s="46"/>
      <c r="C496" s="12"/>
      <c r="D496" s="15"/>
      <c r="E496" s="15"/>
      <c r="F496" s="15"/>
      <c r="G496" s="16"/>
      <c r="H496" s="16"/>
      <c r="I496" s="16"/>
      <c r="J496" s="16"/>
      <c r="K496" s="16"/>
      <c r="L496" s="16"/>
      <c r="M496" s="15"/>
      <c r="N496" s="16"/>
      <c r="O496" s="16"/>
      <c r="P496" s="16"/>
      <c r="Q496" s="16"/>
      <c r="R496" s="16"/>
      <c r="S496" s="16"/>
      <c r="T496" s="16"/>
      <c r="U496" s="16"/>
      <c r="V496" s="16"/>
    </row>
    <row r="497" spans="1:22" ht="13.2">
      <c r="A497" s="12"/>
      <c r="B497" s="46"/>
      <c r="C497" s="12"/>
      <c r="D497" s="15"/>
      <c r="E497" s="15"/>
      <c r="F497" s="15"/>
      <c r="G497" s="16"/>
      <c r="H497" s="16"/>
      <c r="I497" s="16"/>
      <c r="J497" s="16"/>
      <c r="K497" s="16"/>
      <c r="L497" s="16"/>
      <c r="M497" s="15"/>
      <c r="N497" s="16"/>
      <c r="O497" s="16"/>
      <c r="P497" s="16"/>
      <c r="Q497" s="16"/>
      <c r="R497" s="16"/>
      <c r="S497" s="16"/>
      <c r="T497" s="16"/>
      <c r="U497" s="16"/>
      <c r="V497" s="16"/>
    </row>
    <row r="498" spans="1:22" ht="13.2">
      <c r="A498" s="12"/>
      <c r="B498" s="46"/>
      <c r="C498" s="12"/>
      <c r="D498" s="15"/>
      <c r="E498" s="15"/>
      <c r="F498" s="15"/>
      <c r="G498" s="16"/>
      <c r="H498" s="16"/>
      <c r="I498" s="16"/>
      <c r="J498" s="16"/>
      <c r="K498" s="16"/>
      <c r="L498" s="16"/>
      <c r="M498" s="15"/>
      <c r="N498" s="16"/>
      <c r="O498" s="16"/>
      <c r="P498" s="16"/>
      <c r="Q498" s="16"/>
      <c r="R498" s="16"/>
      <c r="S498" s="16"/>
      <c r="T498" s="16"/>
      <c r="U498" s="16"/>
      <c r="V498" s="16"/>
    </row>
    <row r="499" spans="1:22" ht="13.2">
      <c r="A499" s="12"/>
      <c r="B499" s="46"/>
      <c r="C499" s="12"/>
      <c r="D499" s="15"/>
      <c r="E499" s="15"/>
      <c r="F499" s="15"/>
      <c r="G499" s="16"/>
      <c r="H499" s="16"/>
      <c r="I499" s="16"/>
      <c r="J499" s="16"/>
      <c r="K499" s="16"/>
      <c r="L499" s="16"/>
      <c r="M499" s="15"/>
      <c r="N499" s="16"/>
      <c r="O499" s="16"/>
      <c r="P499" s="16"/>
      <c r="Q499" s="16"/>
      <c r="R499" s="16"/>
      <c r="S499" s="16"/>
      <c r="T499" s="16"/>
      <c r="U499" s="16"/>
      <c r="V499" s="16"/>
    </row>
    <row r="500" spans="1:22" ht="13.2">
      <c r="A500" s="12"/>
      <c r="B500" s="46"/>
      <c r="C500" s="12"/>
      <c r="D500" s="15"/>
      <c r="E500" s="15"/>
      <c r="F500" s="15"/>
      <c r="G500" s="16"/>
      <c r="H500" s="16"/>
      <c r="I500" s="16"/>
      <c r="J500" s="16"/>
      <c r="K500" s="16"/>
      <c r="L500" s="16"/>
      <c r="M500" s="15"/>
      <c r="N500" s="16"/>
      <c r="O500" s="16"/>
      <c r="P500" s="16"/>
      <c r="Q500" s="16"/>
      <c r="R500" s="16"/>
      <c r="S500" s="16"/>
      <c r="T500" s="16"/>
      <c r="U500" s="16"/>
      <c r="V500" s="16"/>
    </row>
    <row r="501" spans="1:22" ht="13.2">
      <c r="A501" s="12"/>
      <c r="B501" s="46"/>
      <c r="C501" s="12"/>
      <c r="D501" s="15"/>
      <c r="E501" s="15"/>
      <c r="F501" s="15"/>
      <c r="G501" s="16"/>
      <c r="H501" s="16"/>
      <c r="I501" s="16"/>
      <c r="J501" s="16"/>
      <c r="K501" s="16"/>
      <c r="L501" s="16"/>
      <c r="M501" s="15"/>
      <c r="N501" s="16"/>
      <c r="O501" s="16"/>
      <c r="P501" s="16"/>
      <c r="Q501" s="16"/>
      <c r="R501" s="16"/>
      <c r="S501" s="16"/>
      <c r="T501" s="16"/>
      <c r="U501" s="16"/>
      <c r="V501" s="16"/>
    </row>
    <row r="502" spans="1:22" ht="13.2">
      <c r="A502" s="12"/>
      <c r="B502" s="46"/>
      <c r="C502" s="12"/>
      <c r="D502" s="15"/>
      <c r="E502" s="15"/>
      <c r="F502" s="15"/>
      <c r="G502" s="16"/>
      <c r="H502" s="16"/>
      <c r="I502" s="16"/>
      <c r="J502" s="16"/>
      <c r="K502" s="16"/>
      <c r="L502" s="16"/>
      <c r="M502" s="15"/>
      <c r="N502" s="16"/>
      <c r="O502" s="16"/>
      <c r="P502" s="16"/>
      <c r="Q502" s="16"/>
      <c r="R502" s="16"/>
      <c r="S502" s="16"/>
      <c r="T502" s="16"/>
      <c r="U502" s="16"/>
      <c r="V502" s="16"/>
    </row>
    <row r="503" spans="1:22" ht="13.2">
      <c r="A503" s="12"/>
      <c r="B503" s="46"/>
      <c r="C503" s="12"/>
      <c r="D503" s="15"/>
      <c r="E503" s="15"/>
      <c r="F503" s="15"/>
      <c r="G503" s="16"/>
      <c r="H503" s="16"/>
      <c r="I503" s="16"/>
      <c r="J503" s="16"/>
      <c r="K503" s="16"/>
      <c r="L503" s="16"/>
      <c r="M503" s="15"/>
      <c r="N503" s="16"/>
      <c r="O503" s="16"/>
      <c r="P503" s="16"/>
      <c r="Q503" s="16"/>
      <c r="R503" s="16"/>
      <c r="S503" s="16"/>
      <c r="T503" s="16"/>
      <c r="U503" s="16"/>
      <c r="V503" s="16"/>
    </row>
    <row r="504" spans="1:22" ht="13.2">
      <c r="A504" s="12"/>
      <c r="B504" s="46"/>
      <c r="C504" s="12"/>
      <c r="D504" s="15"/>
      <c r="E504" s="15"/>
      <c r="F504" s="15"/>
      <c r="G504" s="16"/>
      <c r="H504" s="16"/>
      <c r="I504" s="16"/>
      <c r="J504" s="16"/>
      <c r="K504" s="16"/>
      <c r="L504" s="16"/>
      <c r="M504" s="15"/>
      <c r="N504" s="16"/>
      <c r="O504" s="16"/>
      <c r="P504" s="16"/>
      <c r="Q504" s="16"/>
      <c r="R504" s="16"/>
      <c r="S504" s="16"/>
      <c r="T504" s="16"/>
      <c r="U504" s="16"/>
      <c r="V504" s="16"/>
    </row>
    <row r="505" spans="1:22" ht="13.2">
      <c r="A505" s="12"/>
      <c r="B505" s="46"/>
      <c r="C505" s="12"/>
      <c r="D505" s="15"/>
      <c r="E505" s="15"/>
      <c r="F505" s="15"/>
      <c r="G505" s="16"/>
      <c r="H505" s="16"/>
      <c r="I505" s="16"/>
      <c r="J505" s="16"/>
      <c r="K505" s="16"/>
      <c r="L505" s="16"/>
      <c r="M505" s="15"/>
      <c r="N505" s="16"/>
      <c r="O505" s="16"/>
      <c r="P505" s="16"/>
      <c r="Q505" s="16"/>
      <c r="R505" s="16"/>
      <c r="S505" s="16"/>
      <c r="T505" s="16"/>
      <c r="U505" s="16"/>
      <c r="V505" s="16"/>
    </row>
    <row r="506" spans="1:22" ht="13.2">
      <c r="A506" s="12"/>
      <c r="B506" s="46"/>
      <c r="C506" s="12"/>
      <c r="D506" s="15"/>
      <c r="E506" s="15"/>
      <c r="F506" s="15"/>
      <c r="G506" s="16"/>
      <c r="H506" s="16"/>
      <c r="I506" s="16"/>
      <c r="J506" s="16"/>
      <c r="K506" s="16"/>
      <c r="L506" s="16"/>
      <c r="M506" s="15"/>
      <c r="N506" s="16"/>
      <c r="O506" s="16"/>
      <c r="P506" s="16"/>
      <c r="Q506" s="16"/>
      <c r="R506" s="16"/>
      <c r="S506" s="16"/>
      <c r="T506" s="16"/>
      <c r="U506" s="16"/>
      <c r="V506" s="16"/>
    </row>
    <row r="507" spans="1:22" ht="13.2">
      <c r="A507" s="12"/>
      <c r="B507" s="46"/>
      <c r="C507" s="12"/>
      <c r="D507" s="15"/>
      <c r="E507" s="15"/>
      <c r="F507" s="15"/>
      <c r="G507" s="16"/>
      <c r="H507" s="16"/>
      <c r="I507" s="16"/>
      <c r="J507" s="16"/>
      <c r="K507" s="16"/>
      <c r="L507" s="16"/>
      <c r="M507" s="15"/>
      <c r="N507" s="16"/>
      <c r="O507" s="16"/>
      <c r="P507" s="16"/>
      <c r="Q507" s="16"/>
      <c r="R507" s="16"/>
      <c r="S507" s="16"/>
      <c r="T507" s="16"/>
      <c r="U507" s="16"/>
      <c r="V507" s="16"/>
    </row>
    <row r="508" spans="1:22" ht="13.2">
      <c r="A508" s="12"/>
      <c r="B508" s="46"/>
      <c r="C508" s="12"/>
      <c r="D508" s="15"/>
      <c r="E508" s="15"/>
      <c r="F508" s="15"/>
      <c r="G508" s="16"/>
      <c r="H508" s="16"/>
      <c r="I508" s="16"/>
      <c r="J508" s="16"/>
      <c r="K508" s="16"/>
      <c r="L508" s="16"/>
      <c r="M508" s="15"/>
      <c r="N508" s="16"/>
      <c r="O508" s="16"/>
      <c r="P508" s="16"/>
      <c r="Q508" s="16"/>
      <c r="R508" s="16"/>
      <c r="S508" s="16"/>
      <c r="T508" s="16"/>
      <c r="U508" s="16"/>
      <c r="V508" s="16"/>
    </row>
    <row r="509" spans="1:22" ht="13.2">
      <c r="A509" s="12"/>
      <c r="B509" s="46"/>
      <c r="C509" s="12"/>
      <c r="D509" s="15"/>
      <c r="E509" s="15"/>
      <c r="F509" s="15"/>
      <c r="G509" s="16"/>
      <c r="H509" s="16"/>
      <c r="I509" s="16"/>
      <c r="J509" s="16"/>
      <c r="K509" s="16"/>
      <c r="L509" s="16"/>
      <c r="M509" s="15"/>
      <c r="N509" s="16"/>
      <c r="O509" s="16"/>
      <c r="P509" s="16"/>
      <c r="Q509" s="16"/>
      <c r="R509" s="16"/>
      <c r="S509" s="16"/>
      <c r="T509" s="16"/>
      <c r="U509" s="16"/>
      <c r="V509" s="16"/>
    </row>
    <row r="510" spans="1:22" ht="13.2">
      <c r="A510" s="12"/>
      <c r="B510" s="46"/>
      <c r="C510" s="12"/>
      <c r="D510" s="15"/>
      <c r="E510" s="15"/>
      <c r="F510" s="15"/>
      <c r="G510" s="16"/>
      <c r="H510" s="16"/>
      <c r="I510" s="16"/>
      <c r="J510" s="16"/>
      <c r="K510" s="16"/>
      <c r="L510" s="16"/>
      <c r="M510" s="15"/>
      <c r="N510" s="16"/>
      <c r="O510" s="16"/>
      <c r="P510" s="16"/>
      <c r="Q510" s="16"/>
      <c r="R510" s="16"/>
      <c r="S510" s="16"/>
      <c r="T510" s="16"/>
      <c r="U510" s="16"/>
      <c r="V510" s="16"/>
    </row>
    <row r="511" spans="1:22" ht="13.2">
      <c r="A511" s="12"/>
      <c r="B511" s="46"/>
      <c r="C511" s="12"/>
      <c r="D511" s="15"/>
      <c r="E511" s="15"/>
      <c r="F511" s="15"/>
      <c r="G511" s="16"/>
      <c r="H511" s="16"/>
      <c r="I511" s="16"/>
      <c r="J511" s="16"/>
      <c r="K511" s="16"/>
      <c r="L511" s="16"/>
      <c r="M511" s="15"/>
      <c r="N511" s="16"/>
      <c r="O511" s="16"/>
      <c r="P511" s="16"/>
      <c r="Q511" s="16"/>
      <c r="R511" s="16"/>
      <c r="S511" s="16"/>
      <c r="T511" s="16"/>
      <c r="U511" s="16"/>
      <c r="V511" s="16"/>
    </row>
    <row r="512" spans="1:22" ht="13.2">
      <c r="A512" s="12"/>
      <c r="B512" s="46"/>
      <c r="C512" s="12"/>
      <c r="D512" s="15"/>
      <c r="E512" s="15"/>
      <c r="F512" s="15"/>
      <c r="G512" s="16"/>
      <c r="H512" s="16"/>
      <c r="I512" s="16"/>
      <c r="J512" s="16"/>
      <c r="K512" s="16"/>
      <c r="L512" s="16"/>
      <c r="M512" s="15"/>
      <c r="N512" s="16"/>
      <c r="O512" s="16"/>
      <c r="P512" s="16"/>
      <c r="Q512" s="16"/>
      <c r="R512" s="16"/>
      <c r="S512" s="16"/>
      <c r="T512" s="16"/>
      <c r="U512" s="16"/>
      <c r="V512" s="16"/>
    </row>
    <row r="513" spans="1:22" ht="13.2">
      <c r="A513" s="12"/>
      <c r="B513" s="46"/>
      <c r="C513" s="12"/>
      <c r="D513" s="15"/>
      <c r="E513" s="15"/>
      <c r="F513" s="15"/>
      <c r="G513" s="16"/>
      <c r="H513" s="16"/>
      <c r="I513" s="16"/>
      <c r="J513" s="16"/>
      <c r="K513" s="16"/>
      <c r="L513" s="16"/>
      <c r="M513" s="15"/>
      <c r="N513" s="16"/>
      <c r="O513" s="16"/>
      <c r="P513" s="16"/>
      <c r="Q513" s="16"/>
      <c r="R513" s="16"/>
      <c r="S513" s="16"/>
      <c r="T513" s="16"/>
      <c r="U513" s="16"/>
      <c r="V513" s="16"/>
    </row>
    <row r="514" spans="1:22" ht="13.2">
      <c r="A514" s="12"/>
      <c r="B514" s="46"/>
      <c r="C514" s="12"/>
      <c r="D514" s="15"/>
      <c r="E514" s="15"/>
      <c r="F514" s="15"/>
      <c r="G514" s="16"/>
      <c r="H514" s="16"/>
      <c r="I514" s="16"/>
      <c r="J514" s="16"/>
      <c r="K514" s="16"/>
      <c r="L514" s="16"/>
      <c r="M514" s="15"/>
      <c r="N514" s="16"/>
      <c r="O514" s="16"/>
      <c r="P514" s="16"/>
      <c r="Q514" s="16"/>
      <c r="R514" s="16"/>
      <c r="S514" s="16"/>
      <c r="T514" s="16"/>
      <c r="U514" s="16"/>
      <c r="V514" s="16"/>
    </row>
    <row r="515" spans="1:22" ht="13.2">
      <c r="A515" s="12"/>
      <c r="B515" s="46"/>
      <c r="C515" s="12"/>
      <c r="D515" s="15"/>
      <c r="E515" s="15"/>
      <c r="F515" s="15"/>
      <c r="G515" s="16"/>
      <c r="H515" s="16"/>
      <c r="I515" s="16"/>
      <c r="J515" s="16"/>
      <c r="K515" s="16"/>
      <c r="L515" s="16"/>
      <c r="M515" s="15"/>
      <c r="N515" s="16"/>
      <c r="O515" s="16"/>
      <c r="P515" s="16"/>
      <c r="Q515" s="16"/>
      <c r="R515" s="16"/>
      <c r="S515" s="16"/>
      <c r="T515" s="16"/>
      <c r="U515" s="16"/>
      <c r="V515" s="16"/>
    </row>
    <row r="516" spans="1:22" ht="13.2">
      <c r="A516" s="12"/>
      <c r="B516" s="46"/>
      <c r="C516" s="12"/>
      <c r="D516" s="15"/>
      <c r="E516" s="15"/>
      <c r="F516" s="15"/>
      <c r="G516" s="16"/>
      <c r="H516" s="16"/>
      <c r="I516" s="16"/>
      <c r="J516" s="16"/>
      <c r="K516" s="16"/>
      <c r="L516" s="16"/>
      <c r="M516" s="15"/>
      <c r="N516" s="16"/>
      <c r="O516" s="16"/>
      <c r="P516" s="16"/>
      <c r="Q516" s="16"/>
      <c r="R516" s="16"/>
      <c r="S516" s="16"/>
      <c r="T516" s="16"/>
      <c r="U516" s="16"/>
      <c r="V516" s="16"/>
    </row>
    <row r="517" spans="1:22" ht="13.2">
      <c r="A517" s="12"/>
      <c r="B517" s="46"/>
      <c r="C517" s="12"/>
      <c r="D517" s="15"/>
      <c r="E517" s="15"/>
      <c r="F517" s="15"/>
      <c r="G517" s="16"/>
      <c r="H517" s="16"/>
      <c r="I517" s="16"/>
      <c r="J517" s="16"/>
      <c r="K517" s="16"/>
      <c r="L517" s="16"/>
      <c r="M517" s="15"/>
      <c r="N517" s="16"/>
      <c r="O517" s="16"/>
      <c r="P517" s="16"/>
      <c r="Q517" s="16"/>
      <c r="R517" s="16"/>
      <c r="S517" s="16"/>
      <c r="T517" s="16"/>
      <c r="U517" s="16"/>
      <c r="V517" s="16"/>
    </row>
    <row r="518" spans="1:22" ht="13.2">
      <c r="A518" s="12"/>
      <c r="B518" s="46"/>
      <c r="C518" s="12"/>
      <c r="D518" s="15"/>
      <c r="E518" s="15"/>
      <c r="F518" s="15"/>
      <c r="G518" s="16"/>
      <c r="H518" s="16"/>
      <c r="I518" s="16"/>
      <c r="J518" s="16"/>
      <c r="K518" s="16"/>
      <c r="L518" s="16"/>
      <c r="M518" s="15"/>
      <c r="N518" s="16"/>
      <c r="O518" s="16"/>
      <c r="P518" s="16"/>
      <c r="Q518" s="16"/>
      <c r="R518" s="16"/>
      <c r="S518" s="16"/>
      <c r="T518" s="16"/>
      <c r="U518" s="16"/>
      <c r="V518" s="16"/>
    </row>
    <row r="519" spans="1:22" ht="13.2">
      <c r="A519" s="12"/>
      <c r="B519" s="46"/>
      <c r="C519" s="12"/>
      <c r="D519" s="15"/>
      <c r="E519" s="15"/>
      <c r="F519" s="15"/>
      <c r="G519" s="16"/>
      <c r="H519" s="16"/>
      <c r="I519" s="16"/>
      <c r="J519" s="16"/>
      <c r="K519" s="16"/>
      <c r="L519" s="16"/>
      <c r="M519" s="15"/>
      <c r="N519" s="16"/>
      <c r="O519" s="16"/>
      <c r="P519" s="16"/>
      <c r="Q519" s="16"/>
      <c r="R519" s="16"/>
      <c r="S519" s="16"/>
      <c r="T519" s="16"/>
      <c r="U519" s="16"/>
      <c r="V519" s="16"/>
    </row>
    <row r="520" spans="1:22" ht="13.2">
      <c r="A520" s="12"/>
      <c r="B520" s="46"/>
      <c r="C520" s="12"/>
      <c r="D520" s="15"/>
      <c r="E520" s="15"/>
      <c r="F520" s="15"/>
      <c r="G520" s="16"/>
      <c r="H520" s="16"/>
      <c r="I520" s="16"/>
      <c r="J520" s="16"/>
      <c r="K520" s="16"/>
      <c r="L520" s="16"/>
      <c r="M520" s="15"/>
      <c r="N520" s="16"/>
      <c r="O520" s="16"/>
      <c r="P520" s="16"/>
      <c r="Q520" s="16"/>
      <c r="R520" s="16"/>
      <c r="S520" s="16"/>
      <c r="T520" s="16"/>
      <c r="U520" s="16"/>
      <c r="V520" s="16"/>
    </row>
    <row r="521" spans="1:22" ht="13.2">
      <c r="A521" s="12"/>
      <c r="B521" s="46"/>
      <c r="C521" s="12"/>
      <c r="D521" s="15"/>
      <c r="E521" s="15"/>
      <c r="F521" s="15"/>
      <c r="G521" s="16"/>
      <c r="H521" s="16"/>
      <c r="I521" s="16"/>
      <c r="J521" s="16"/>
      <c r="K521" s="16"/>
      <c r="L521" s="16"/>
      <c r="M521" s="15"/>
      <c r="N521" s="16"/>
      <c r="O521" s="16"/>
      <c r="P521" s="16"/>
      <c r="Q521" s="16"/>
      <c r="R521" s="16"/>
      <c r="S521" s="16"/>
      <c r="T521" s="16"/>
      <c r="U521" s="16"/>
      <c r="V521" s="16"/>
    </row>
    <row r="522" spans="1:22" ht="13.2">
      <c r="A522" s="12"/>
      <c r="B522" s="46"/>
      <c r="C522" s="12"/>
      <c r="D522" s="15"/>
      <c r="E522" s="15"/>
      <c r="F522" s="15"/>
      <c r="G522" s="16"/>
      <c r="H522" s="16"/>
      <c r="I522" s="16"/>
      <c r="J522" s="16"/>
      <c r="K522" s="16"/>
      <c r="L522" s="16"/>
      <c r="M522" s="15"/>
      <c r="N522" s="16"/>
      <c r="O522" s="16"/>
      <c r="P522" s="16"/>
      <c r="Q522" s="16"/>
      <c r="R522" s="16"/>
      <c r="S522" s="16"/>
      <c r="T522" s="16"/>
      <c r="U522" s="16"/>
      <c r="V522" s="16"/>
    </row>
    <row r="523" spans="1:22" ht="13.2">
      <c r="A523" s="12"/>
      <c r="B523" s="46"/>
      <c r="C523" s="12"/>
      <c r="D523" s="15"/>
      <c r="E523" s="15"/>
      <c r="F523" s="15"/>
      <c r="G523" s="16"/>
      <c r="H523" s="16"/>
      <c r="I523" s="16"/>
      <c r="J523" s="16"/>
      <c r="K523" s="16"/>
      <c r="L523" s="16"/>
      <c r="M523" s="15"/>
      <c r="N523" s="16"/>
      <c r="O523" s="16"/>
      <c r="P523" s="16"/>
      <c r="Q523" s="16"/>
      <c r="R523" s="16"/>
      <c r="S523" s="16"/>
      <c r="T523" s="16"/>
      <c r="U523" s="16"/>
      <c r="V523" s="16"/>
    </row>
    <row r="524" spans="1:22" ht="13.2">
      <c r="A524" s="12"/>
      <c r="B524" s="46"/>
      <c r="C524" s="12"/>
      <c r="D524" s="15"/>
      <c r="E524" s="15"/>
      <c r="F524" s="15"/>
      <c r="G524" s="16"/>
      <c r="H524" s="16"/>
      <c r="I524" s="16"/>
      <c r="J524" s="16"/>
      <c r="K524" s="16"/>
      <c r="L524" s="16"/>
      <c r="M524" s="15"/>
      <c r="N524" s="16"/>
      <c r="O524" s="16"/>
      <c r="P524" s="16"/>
      <c r="Q524" s="16"/>
      <c r="R524" s="16"/>
      <c r="S524" s="16"/>
      <c r="T524" s="16"/>
      <c r="U524" s="16"/>
      <c r="V524" s="16"/>
    </row>
    <row r="525" spans="1:22" ht="13.2">
      <c r="A525" s="12"/>
      <c r="B525" s="46"/>
      <c r="C525" s="12"/>
      <c r="D525" s="15"/>
      <c r="E525" s="15"/>
      <c r="F525" s="15"/>
      <c r="G525" s="16"/>
      <c r="H525" s="16"/>
      <c r="I525" s="16"/>
      <c r="J525" s="16"/>
      <c r="K525" s="16"/>
      <c r="L525" s="16"/>
      <c r="M525" s="15"/>
      <c r="N525" s="16"/>
      <c r="O525" s="16"/>
      <c r="P525" s="16"/>
      <c r="Q525" s="16"/>
      <c r="R525" s="16"/>
      <c r="S525" s="16"/>
      <c r="T525" s="16"/>
      <c r="U525" s="16"/>
      <c r="V525" s="16"/>
    </row>
    <row r="526" spans="1:22" ht="13.2">
      <c r="A526" s="12"/>
      <c r="B526" s="46"/>
      <c r="C526" s="12"/>
      <c r="D526" s="15"/>
      <c r="E526" s="15"/>
      <c r="F526" s="15"/>
      <c r="G526" s="16"/>
      <c r="H526" s="16"/>
      <c r="I526" s="16"/>
      <c r="J526" s="16"/>
      <c r="K526" s="16"/>
      <c r="L526" s="16"/>
      <c r="M526" s="15"/>
      <c r="N526" s="16"/>
      <c r="O526" s="16"/>
      <c r="P526" s="16"/>
      <c r="Q526" s="16"/>
      <c r="R526" s="16"/>
      <c r="S526" s="16"/>
      <c r="T526" s="16"/>
      <c r="U526" s="16"/>
      <c r="V526" s="16"/>
    </row>
    <row r="527" spans="1:22" ht="13.2">
      <c r="A527" s="12"/>
      <c r="B527" s="46"/>
      <c r="C527" s="12"/>
      <c r="D527" s="15"/>
      <c r="E527" s="15"/>
      <c r="F527" s="15"/>
      <c r="G527" s="16"/>
      <c r="H527" s="16"/>
      <c r="I527" s="16"/>
      <c r="J527" s="16"/>
      <c r="K527" s="16"/>
      <c r="L527" s="16"/>
      <c r="M527" s="15"/>
      <c r="N527" s="16"/>
      <c r="O527" s="16"/>
      <c r="P527" s="16"/>
      <c r="Q527" s="16"/>
      <c r="R527" s="16"/>
      <c r="S527" s="16"/>
      <c r="T527" s="16"/>
      <c r="U527" s="16"/>
      <c r="V527" s="16"/>
    </row>
    <row r="528" spans="1:22" ht="13.2">
      <c r="A528" s="12"/>
      <c r="B528" s="46"/>
      <c r="C528" s="12"/>
      <c r="D528" s="15"/>
      <c r="E528" s="15"/>
      <c r="F528" s="15"/>
      <c r="G528" s="16"/>
      <c r="H528" s="16"/>
      <c r="I528" s="16"/>
      <c r="J528" s="16"/>
      <c r="K528" s="16"/>
      <c r="L528" s="16"/>
      <c r="M528" s="15"/>
      <c r="N528" s="16"/>
      <c r="O528" s="16"/>
      <c r="P528" s="16"/>
      <c r="Q528" s="16"/>
      <c r="R528" s="16"/>
      <c r="S528" s="16"/>
      <c r="T528" s="16"/>
      <c r="U528" s="16"/>
      <c r="V528" s="16"/>
    </row>
    <row r="529" spans="1:22" ht="13.2">
      <c r="A529" s="12"/>
      <c r="B529" s="46"/>
      <c r="C529" s="12"/>
      <c r="D529" s="15"/>
      <c r="E529" s="15"/>
      <c r="F529" s="15"/>
      <c r="G529" s="16"/>
      <c r="H529" s="16"/>
      <c r="I529" s="16"/>
      <c r="J529" s="16"/>
      <c r="K529" s="16"/>
      <c r="L529" s="16"/>
      <c r="M529" s="15"/>
      <c r="N529" s="16"/>
      <c r="O529" s="16"/>
      <c r="P529" s="16"/>
      <c r="Q529" s="16"/>
      <c r="R529" s="16"/>
      <c r="S529" s="16"/>
      <c r="T529" s="16"/>
      <c r="U529" s="16"/>
      <c r="V529" s="16"/>
    </row>
    <row r="530" spans="1:22" ht="13.2">
      <c r="A530" s="12"/>
      <c r="B530" s="46"/>
      <c r="C530" s="12"/>
      <c r="D530" s="15"/>
      <c r="E530" s="15"/>
      <c r="F530" s="15"/>
      <c r="G530" s="16"/>
      <c r="H530" s="16"/>
      <c r="I530" s="16"/>
      <c r="J530" s="16"/>
      <c r="K530" s="16"/>
      <c r="L530" s="16"/>
      <c r="M530" s="15"/>
      <c r="N530" s="16"/>
      <c r="O530" s="16"/>
      <c r="P530" s="16"/>
      <c r="Q530" s="16"/>
      <c r="R530" s="16"/>
      <c r="S530" s="16"/>
      <c r="T530" s="16"/>
      <c r="U530" s="16"/>
      <c r="V530" s="16"/>
    </row>
    <row r="531" spans="1:22" ht="13.2">
      <c r="A531" s="12"/>
      <c r="B531" s="46"/>
      <c r="C531" s="12"/>
      <c r="D531" s="15"/>
      <c r="E531" s="15"/>
      <c r="F531" s="15"/>
      <c r="G531" s="16"/>
      <c r="H531" s="16"/>
      <c r="I531" s="16"/>
      <c r="J531" s="16"/>
      <c r="K531" s="16"/>
      <c r="L531" s="16"/>
      <c r="M531" s="15"/>
      <c r="N531" s="16"/>
      <c r="O531" s="16"/>
      <c r="P531" s="16"/>
      <c r="Q531" s="16"/>
      <c r="R531" s="16"/>
      <c r="S531" s="16"/>
      <c r="T531" s="16"/>
      <c r="U531" s="16"/>
      <c r="V531" s="16"/>
    </row>
    <row r="532" spans="1:22" ht="13.2">
      <c r="A532" s="12"/>
      <c r="B532" s="46"/>
      <c r="C532" s="12"/>
      <c r="D532" s="15"/>
      <c r="E532" s="15"/>
      <c r="F532" s="15"/>
      <c r="G532" s="16"/>
      <c r="H532" s="16"/>
      <c r="I532" s="16"/>
      <c r="J532" s="16"/>
      <c r="K532" s="16"/>
      <c r="L532" s="16"/>
      <c r="M532" s="15"/>
      <c r="N532" s="16"/>
      <c r="O532" s="16"/>
      <c r="P532" s="16"/>
      <c r="Q532" s="16"/>
      <c r="R532" s="16"/>
      <c r="S532" s="16"/>
      <c r="T532" s="16"/>
      <c r="U532" s="16"/>
      <c r="V532" s="16"/>
    </row>
    <row r="533" spans="1:22" ht="13.2">
      <c r="A533" s="12"/>
      <c r="B533" s="46"/>
      <c r="C533" s="12"/>
      <c r="D533" s="15"/>
      <c r="E533" s="15"/>
      <c r="F533" s="15"/>
      <c r="G533" s="16"/>
      <c r="H533" s="16"/>
      <c r="I533" s="16"/>
      <c r="J533" s="16"/>
      <c r="K533" s="16"/>
      <c r="L533" s="16"/>
      <c r="M533" s="15"/>
      <c r="N533" s="16"/>
      <c r="O533" s="16"/>
      <c r="P533" s="16"/>
      <c r="Q533" s="16"/>
      <c r="R533" s="16"/>
      <c r="S533" s="16"/>
      <c r="T533" s="16"/>
      <c r="U533" s="16"/>
      <c r="V533" s="16"/>
    </row>
    <row r="534" spans="1:22" ht="13.2">
      <c r="A534" s="12"/>
      <c r="B534" s="46"/>
      <c r="C534" s="12"/>
      <c r="D534" s="15"/>
      <c r="E534" s="15"/>
      <c r="F534" s="15"/>
      <c r="G534" s="16"/>
      <c r="H534" s="16"/>
      <c r="I534" s="16"/>
      <c r="J534" s="16"/>
      <c r="K534" s="16"/>
      <c r="L534" s="16"/>
      <c r="M534" s="15"/>
      <c r="N534" s="16"/>
      <c r="O534" s="16"/>
      <c r="P534" s="16"/>
      <c r="Q534" s="16"/>
      <c r="R534" s="16"/>
      <c r="S534" s="16"/>
      <c r="T534" s="16"/>
      <c r="U534" s="16"/>
      <c r="V534" s="16"/>
    </row>
    <row r="535" spans="1:22" ht="13.2">
      <c r="A535" s="12"/>
      <c r="B535" s="46"/>
      <c r="C535" s="12"/>
      <c r="D535" s="15"/>
      <c r="E535" s="15"/>
      <c r="F535" s="15"/>
      <c r="G535" s="16"/>
      <c r="H535" s="16"/>
      <c r="I535" s="16"/>
      <c r="J535" s="16"/>
      <c r="K535" s="16"/>
      <c r="L535" s="16"/>
      <c r="M535" s="15"/>
      <c r="N535" s="16"/>
      <c r="O535" s="16"/>
      <c r="P535" s="16"/>
      <c r="Q535" s="16"/>
      <c r="R535" s="16"/>
      <c r="S535" s="16"/>
      <c r="T535" s="16"/>
      <c r="U535" s="16"/>
      <c r="V535" s="16"/>
    </row>
    <row r="536" spans="1:22" ht="13.2">
      <c r="A536" s="12"/>
      <c r="B536" s="46"/>
      <c r="C536" s="12"/>
      <c r="D536" s="15"/>
      <c r="E536" s="15"/>
      <c r="F536" s="15"/>
      <c r="G536" s="16"/>
      <c r="H536" s="16"/>
      <c r="I536" s="16"/>
      <c r="J536" s="16"/>
      <c r="K536" s="16"/>
      <c r="L536" s="16"/>
      <c r="M536" s="15"/>
      <c r="N536" s="16"/>
      <c r="O536" s="16"/>
      <c r="P536" s="16"/>
      <c r="Q536" s="16"/>
      <c r="R536" s="16"/>
      <c r="S536" s="16"/>
      <c r="T536" s="16"/>
      <c r="U536" s="16"/>
      <c r="V536" s="16"/>
    </row>
    <row r="537" spans="1:22" ht="13.2">
      <c r="A537" s="12"/>
      <c r="B537" s="46"/>
      <c r="C537" s="12"/>
      <c r="D537" s="15"/>
      <c r="E537" s="15"/>
      <c r="F537" s="15"/>
      <c r="G537" s="16"/>
      <c r="H537" s="16"/>
      <c r="I537" s="16"/>
      <c r="J537" s="16"/>
      <c r="K537" s="16"/>
      <c r="L537" s="16"/>
      <c r="M537" s="15"/>
      <c r="N537" s="16"/>
      <c r="O537" s="16"/>
      <c r="P537" s="16"/>
      <c r="Q537" s="16"/>
      <c r="R537" s="16"/>
      <c r="S537" s="16"/>
      <c r="T537" s="16"/>
      <c r="U537" s="16"/>
      <c r="V537" s="16"/>
    </row>
    <row r="538" spans="1:22" ht="13.2">
      <c r="A538" s="12"/>
      <c r="B538" s="46"/>
      <c r="C538" s="12"/>
      <c r="D538" s="15"/>
      <c r="E538" s="15"/>
      <c r="F538" s="15"/>
      <c r="G538" s="16"/>
      <c r="H538" s="16"/>
      <c r="I538" s="16"/>
      <c r="J538" s="16"/>
      <c r="K538" s="16"/>
      <c r="L538" s="16"/>
      <c r="M538" s="15"/>
      <c r="N538" s="16"/>
      <c r="O538" s="16"/>
      <c r="P538" s="16"/>
      <c r="Q538" s="16"/>
      <c r="R538" s="16"/>
      <c r="S538" s="16"/>
      <c r="T538" s="16"/>
      <c r="U538" s="16"/>
      <c r="V538" s="16"/>
    </row>
    <row r="539" spans="1:22" ht="13.2">
      <c r="A539" s="12"/>
      <c r="B539" s="46"/>
      <c r="C539" s="12"/>
      <c r="D539" s="15"/>
      <c r="E539" s="15"/>
      <c r="F539" s="15"/>
      <c r="G539" s="16"/>
      <c r="H539" s="16"/>
      <c r="I539" s="16"/>
      <c r="J539" s="16"/>
      <c r="K539" s="16"/>
      <c r="L539" s="16"/>
      <c r="M539" s="15"/>
      <c r="N539" s="16"/>
      <c r="O539" s="16"/>
      <c r="P539" s="16"/>
      <c r="Q539" s="16"/>
      <c r="R539" s="16"/>
      <c r="S539" s="16"/>
      <c r="T539" s="16"/>
      <c r="U539" s="16"/>
      <c r="V539" s="16"/>
    </row>
    <row r="540" spans="1:22" ht="13.2">
      <c r="A540" s="12"/>
      <c r="B540" s="46"/>
      <c r="C540" s="12"/>
      <c r="D540" s="15"/>
      <c r="E540" s="15"/>
      <c r="F540" s="15"/>
      <c r="G540" s="16"/>
      <c r="H540" s="16"/>
      <c r="I540" s="16"/>
      <c r="J540" s="16"/>
      <c r="K540" s="16"/>
      <c r="L540" s="16"/>
      <c r="M540" s="15"/>
      <c r="N540" s="16"/>
      <c r="O540" s="16"/>
      <c r="P540" s="16"/>
      <c r="Q540" s="16"/>
      <c r="R540" s="16"/>
      <c r="S540" s="16"/>
      <c r="T540" s="16"/>
      <c r="U540" s="16"/>
      <c r="V540" s="16"/>
    </row>
    <row r="541" spans="1:22" ht="13.2">
      <c r="A541" s="12"/>
      <c r="B541" s="46"/>
      <c r="C541" s="12"/>
      <c r="D541" s="15"/>
      <c r="E541" s="15"/>
      <c r="F541" s="15"/>
      <c r="G541" s="16"/>
      <c r="H541" s="16"/>
      <c r="I541" s="16"/>
      <c r="J541" s="16"/>
      <c r="K541" s="16"/>
      <c r="L541" s="16"/>
      <c r="M541" s="15"/>
      <c r="N541" s="16"/>
      <c r="O541" s="16"/>
      <c r="P541" s="16"/>
      <c r="Q541" s="16"/>
      <c r="R541" s="16"/>
      <c r="S541" s="16"/>
      <c r="T541" s="16"/>
      <c r="U541" s="16"/>
      <c r="V541" s="16"/>
    </row>
    <row r="542" spans="1:22" ht="13.2">
      <c r="A542" s="12"/>
      <c r="B542" s="46"/>
      <c r="C542" s="12"/>
      <c r="D542" s="15"/>
      <c r="E542" s="15"/>
      <c r="F542" s="15"/>
      <c r="G542" s="16"/>
      <c r="H542" s="16"/>
      <c r="I542" s="16"/>
      <c r="J542" s="16"/>
      <c r="K542" s="16"/>
      <c r="L542" s="16"/>
      <c r="M542" s="15"/>
      <c r="N542" s="16"/>
      <c r="O542" s="16"/>
      <c r="P542" s="16"/>
      <c r="Q542" s="16"/>
      <c r="R542" s="16"/>
      <c r="S542" s="16"/>
      <c r="T542" s="16"/>
      <c r="U542" s="16"/>
      <c r="V542" s="16"/>
    </row>
    <row r="543" spans="1:22" ht="13.2">
      <c r="A543" s="12"/>
      <c r="B543" s="46"/>
      <c r="C543" s="12"/>
      <c r="D543" s="15"/>
      <c r="E543" s="15"/>
      <c r="F543" s="15"/>
      <c r="G543" s="16"/>
      <c r="H543" s="16"/>
      <c r="I543" s="16"/>
      <c r="J543" s="16"/>
      <c r="K543" s="16"/>
      <c r="L543" s="16"/>
      <c r="M543" s="15"/>
      <c r="N543" s="16"/>
      <c r="O543" s="16"/>
      <c r="P543" s="16"/>
      <c r="Q543" s="16"/>
      <c r="R543" s="16"/>
      <c r="S543" s="16"/>
      <c r="T543" s="16"/>
      <c r="U543" s="16"/>
      <c r="V543" s="16"/>
    </row>
    <row r="544" spans="1:22" ht="13.2">
      <c r="A544" s="12"/>
      <c r="B544" s="46"/>
      <c r="C544" s="12"/>
      <c r="D544" s="15"/>
      <c r="E544" s="15"/>
      <c r="F544" s="15"/>
      <c r="G544" s="16"/>
      <c r="H544" s="16"/>
      <c r="I544" s="16"/>
      <c r="J544" s="16"/>
      <c r="K544" s="16"/>
      <c r="L544" s="16"/>
      <c r="M544" s="15"/>
      <c r="N544" s="16"/>
      <c r="O544" s="16"/>
      <c r="P544" s="16"/>
      <c r="Q544" s="16"/>
      <c r="R544" s="16"/>
      <c r="S544" s="16"/>
      <c r="T544" s="16"/>
      <c r="U544" s="16"/>
      <c r="V544" s="16"/>
    </row>
    <row r="545" spans="1:22" ht="13.2">
      <c r="A545" s="12"/>
      <c r="B545" s="46"/>
      <c r="C545" s="12"/>
      <c r="D545" s="15"/>
      <c r="E545" s="15"/>
      <c r="F545" s="15"/>
      <c r="G545" s="16"/>
      <c r="H545" s="16"/>
      <c r="I545" s="16"/>
      <c r="J545" s="16"/>
      <c r="K545" s="16"/>
      <c r="L545" s="16"/>
      <c r="M545" s="15"/>
      <c r="N545" s="16"/>
      <c r="O545" s="16"/>
      <c r="P545" s="16"/>
      <c r="Q545" s="16"/>
      <c r="R545" s="16"/>
      <c r="S545" s="16"/>
      <c r="T545" s="16"/>
      <c r="U545" s="16"/>
      <c r="V545" s="16"/>
    </row>
    <row r="546" spans="1:22" ht="13.2">
      <c r="A546" s="12"/>
      <c r="B546" s="46"/>
      <c r="C546" s="12"/>
      <c r="D546" s="15"/>
      <c r="E546" s="15"/>
      <c r="F546" s="15"/>
      <c r="G546" s="16"/>
      <c r="H546" s="16"/>
      <c r="I546" s="16"/>
      <c r="J546" s="16"/>
      <c r="K546" s="16"/>
      <c r="L546" s="16"/>
      <c r="M546" s="15"/>
      <c r="N546" s="16"/>
      <c r="O546" s="16"/>
      <c r="P546" s="16"/>
      <c r="Q546" s="16"/>
      <c r="R546" s="16"/>
      <c r="S546" s="16"/>
      <c r="T546" s="16"/>
      <c r="U546" s="16"/>
      <c r="V546" s="16"/>
    </row>
    <row r="547" spans="1:22" ht="13.2">
      <c r="A547" s="12"/>
      <c r="B547" s="46"/>
      <c r="C547" s="12"/>
      <c r="D547" s="15"/>
      <c r="E547" s="15"/>
      <c r="F547" s="15"/>
      <c r="G547" s="16"/>
      <c r="H547" s="16"/>
      <c r="I547" s="16"/>
      <c r="J547" s="16"/>
      <c r="K547" s="16"/>
      <c r="L547" s="16"/>
      <c r="M547" s="15"/>
      <c r="N547" s="16"/>
      <c r="O547" s="16"/>
      <c r="P547" s="16"/>
      <c r="Q547" s="16"/>
      <c r="R547" s="16"/>
      <c r="S547" s="16"/>
      <c r="T547" s="16"/>
      <c r="U547" s="16"/>
      <c r="V547" s="16"/>
    </row>
    <row r="548" spans="1:22" ht="13.2">
      <c r="A548" s="12"/>
      <c r="B548" s="46"/>
      <c r="C548" s="12"/>
      <c r="D548" s="15"/>
      <c r="E548" s="15"/>
      <c r="F548" s="15"/>
      <c r="G548" s="16"/>
      <c r="H548" s="16"/>
      <c r="I548" s="16"/>
      <c r="J548" s="16"/>
      <c r="K548" s="16"/>
      <c r="L548" s="16"/>
      <c r="M548" s="15"/>
      <c r="N548" s="16"/>
      <c r="O548" s="16"/>
      <c r="P548" s="16"/>
      <c r="Q548" s="16"/>
      <c r="R548" s="16"/>
      <c r="S548" s="16"/>
      <c r="T548" s="16"/>
      <c r="U548" s="16"/>
      <c r="V548" s="16"/>
    </row>
    <row r="549" spans="1:22" ht="13.2">
      <c r="A549" s="12"/>
      <c r="B549" s="46"/>
      <c r="C549" s="12"/>
      <c r="D549" s="15"/>
      <c r="E549" s="15"/>
      <c r="F549" s="15"/>
      <c r="G549" s="16"/>
      <c r="H549" s="16"/>
      <c r="I549" s="16"/>
      <c r="J549" s="16"/>
      <c r="K549" s="16"/>
      <c r="L549" s="16"/>
      <c r="M549" s="15"/>
      <c r="N549" s="16"/>
      <c r="O549" s="16"/>
      <c r="P549" s="16"/>
      <c r="Q549" s="16"/>
      <c r="R549" s="16"/>
      <c r="S549" s="16"/>
      <c r="T549" s="16"/>
      <c r="U549" s="16"/>
      <c r="V549" s="16"/>
    </row>
    <row r="550" spans="1:22" ht="13.2">
      <c r="A550" s="12"/>
      <c r="B550" s="46"/>
      <c r="C550" s="12"/>
      <c r="D550" s="15"/>
      <c r="E550" s="15"/>
      <c r="F550" s="15"/>
      <c r="G550" s="16"/>
      <c r="H550" s="16"/>
      <c r="I550" s="16"/>
      <c r="J550" s="16"/>
      <c r="K550" s="16"/>
      <c r="L550" s="16"/>
      <c r="M550" s="15"/>
      <c r="N550" s="16"/>
      <c r="O550" s="16"/>
      <c r="P550" s="16"/>
      <c r="Q550" s="16"/>
      <c r="R550" s="16"/>
      <c r="S550" s="16"/>
      <c r="T550" s="16"/>
      <c r="U550" s="16"/>
      <c r="V550" s="16"/>
    </row>
    <row r="551" spans="1:22" ht="13.2">
      <c r="A551" s="12"/>
      <c r="B551" s="46"/>
      <c r="C551" s="12"/>
      <c r="D551" s="15"/>
      <c r="E551" s="15"/>
      <c r="F551" s="15"/>
      <c r="G551" s="16"/>
      <c r="H551" s="16"/>
      <c r="I551" s="16"/>
      <c r="J551" s="16"/>
      <c r="K551" s="16"/>
      <c r="L551" s="16"/>
      <c r="M551" s="15"/>
      <c r="N551" s="16"/>
      <c r="O551" s="16"/>
      <c r="P551" s="16"/>
      <c r="Q551" s="16"/>
      <c r="R551" s="16"/>
      <c r="S551" s="16"/>
      <c r="T551" s="16"/>
      <c r="U551" s="16"/>
      <c r="V551" s="16"/>
    </row>
    <row r="552" spans="1:22" ht="13.2">
      <c r="A552" s="12"/>
      <c r="B552" s="46"/>
      <c r="C552" s="12"/>
      <c r="D552" s="15"/>
      <c r="E552" s="15"/>
      <c r="F552" s="15"/>
      <c r="G552" s="16"/>
      <c r="H552" s="16"/>
      <c r="I552" s="16"/>
      <c r="J552" s="16"/>
      <c r="K552" s="16"/>
      <c r="L552" s="16"/>
      <c r="M552" s="15"/>
      <c r="N552" s="16"/>
      <c r="O552" s="16"/>
      <c r="P552" s="16"/>
      <c r="Q552" s="16"/>
      <c r="R552" s="16"/>
      <c r="S552" s="16"/>
      <c r="T552" s="16"/>
      <c r="U552" s="16"/>
      <c r="V552" s="16"/>
    </row>
    <row r="553" spans="1:22" ht="13.2">
      <c r="A553" s="12"/>
      <c r="B553" s="46"/>
      <c r="C553" s="12"/>
      <c r="D553" s="15"/>
      <c r="E553" s="15"/>
      <c r="F553" s="15"/>
      <c r="G553" s="16"/>
      <c r="H553" s="16"/>
      <c r="I553" s="16"/>
      <c r="J553" s="16"/>
      <c r="K553" s="16"/>
      <c r="L553" s="16"/>
      <c r="M553" s="15"/>
      <c r="N553" s="16"/>
      <c r="O553" s="16"/>
      <c r="P553" s="16"/>
      <c r="Q553" s="16"/>
      <c r="R553" s="16"/>
      <c r="S553" s="16"/>
      <c r="T553" s="16"/>
      <c r="U553" s="16"/>
      <c r="V553" s="16"/>
    </row>
    <row r="554" spans="1:22" ht="13.2">
      <c r="A554" s="12"/>
      <c r="B554" s="46"/>
      <c r="C554" s="12"/>
      <c r="D554" s="15"/>
      <c r="E554" s="15"/>
      <c r="F554" s="15"/>
      <c r="G554" s="16"/>
      <c r="H554" s="16"/>
      <c r="I554" s="16"/>
      <c r="J554" s="16"/>
      <c r="K554" s="16"/>
      <c r="L554" s="16"/>
      <c r="M554" s="15"/>
      <c r="N554" s="16"/>
      <c r="O554" s="16"/>
      <c r="P554" s="16"/>
      <c r="Q554" s="16"/>
      <c r="R554" s="16"/>
      <c r="S554" s="16"/>
      <c r="T554" s="16"/>
      <c r="U554" s="16"/>
      <c r="V554" s="16"/>
    </row>
    <row r="555" spans="1:22" ht="13.2">
      <c r="A555" s="12"/>
      <c r="B555" s="46"/>
      <c r="C555" s="12"/>
      <c r="D555" s="15"/>
      <c r="E555" s="15"/>
      <c r="F555" s="15"/>
      <c r="G555" s="16"/>
      <c r="H555" s="16"/>
      <c r="I555" s="16"/>
      <c r="J555" s="16"/>
      <c r="K555" s="16"/>
      <c r="L555" s="16"/>
      <c r="M555" s="15"/>
      <c r="N555" s="16"/>
      <c r="O555" s="16"/>
      <c r="P555" s="16"/>
      <c r="Q555" s="16"/>
      <c r="R555" s="16"/>
      <c r="S555" s="16"/>
      <c r="T555" s="16"/>
      <c r="U555" s="16"/>
      <c r="V555" s="16"/>
    </row>
    <row r="556" spans="1:22" ht="13.2">
      <c r="A556" s="12"/>
      <c r="B556" s="46"/>
      <c r="C556" s="12"/>
      <c r="D556" s="15"/>
      <c r="E556" s="15"/>
      <c r="F556" s="15"/>
      <c r="G556" s="16"/>
      <c r="H556" s="16"/>
      <c r="I556" s="16"/>
      <c r="J556" s="16"/>
      <c r="K556" s="16"/>
      <c r="L556" s="16"/>
      <c r="M556" s="15"/>
      <c r="N556" s="16"/>
      <c r="O556" s="16"/>
      <c r="P556" s="16"/>
      <c r="Q556" s="16"/>
      <c r="R556" s="16"/>
      <c r="S556" s="16"/>
      <c r="T556" s="16"/>
      <c r="U556" s="16"/>
      <c r="V556" s="16"/>
    </row>
    <row r="557" spans="1:22" ht="13.2">
      <c r="A557" s="12"/>
      <c r="B557" s="46"/>
      <c r="C557" s="12"/>
      <c r="D557" s="15"/>
      <c r="E557" s="15"/>
      <c r="F557" s="15"/>
      <c r="G557" s="16"/>
      <c r="H557" s="16"/>
      <c r="I557" s="16"/>
      <c r="J557" s="16"/>
      <c r="K557" s="16"/>
      <c r="L557" s="16"/>
      <c r="M557" s="15"/>
      <c r="N557" s="16"/>
      <c r="O557" s="16"/>
      <c r="P557" s="16"/>
      <c r="Q557" s="16"/>
      <c r="R557" s="16"/>
      <c r="S557" s="16"/>
      <c r="T557" s="16"/>
      <c r="U557" s="16"/>
      <c r="V557" s="16"/>
    </row>
    <row r="558" spans="1:22" ht="13.2">
      <c r="A558" s="12"/>
      <c r="B558" s="46"/>
      <c r="C558" s="12"/>
      <c r="D558" s="15"/>
      <c r="E558" s="15"/>
      <c r="F558" s="15"/>
      <c r="G558" s="16"/>
      <c r="H558" s="16"/>
      <c r="I558" s="16"/>
      <c r="J558" s="16"/>
      <c r="K558" s="16"/>
      <c r="L558" s="16"/>
      <c r="M558" s="15"/>
      <c r="N558" s="16"/>
      <c r="O558" s="16"/>
      <c r="P558" s="16"/>
      <c r="Q558" s="16"/>
      <c r="R558" s="16"/>
      <c r="S558" s="16"/>
      <c r="T558" s="16"/>
      <c r="U558" s="16"/>
      <c r="V558" s="16"/>
    </row>
    <row r="559" spans="1:22" ht="13.2">
      <c r="A559" s="12"/>
      <c r="B559" s="46"/>
      <c r="C559" s="12"/>
      <c r="D559" s="15"/>
      <c r="E559" s="15"/>
      <c r="F559" s="15"/>
      <c r="G559" s="16"/>
      <c r="H559" s="16"/>
      <c r="I559" s="16"/>
      <c r="J559" s="16"/>
      <c r="K559" s="16"/>
      <c r="L559" s="16"/>
      <c r="M559" s="15"/>
      <c r="N559" s="16"/>
      <c r="O559" s="16"/>
      <c r="P559" s="16"/>
      <c r="Q559" s="16"/>
      <c r="R559" s="16"/>
      <c r="S559" s="16"/>
      <c r="T559" s="16"/>
      <c r="U559" s="16"/>
      <c r="V559" s="16"/>
    </row>
    <row r="560" spans="1:22" ht="13.2">
      <c r="A560" s="12"/>
      <c r="B560" s="46"/>
      <c r="C560" s="12"/>
      <c r="D560" s="15"/>
      <c r="E560" s="15"/>
      <c r="F560" s="15"/>
      <c r="G560" s="16"/>
      <c r="H560" s="16"/>
      <c r="I560" s="16"/>
      <c r="J560" s="16"/>
      <c r="K560" s="16"/>
      <c r="L560" s="16"/>
      <c r="M560" s="15"/>
      <c r="N560" s="16"/>
      <c r="O560" s="16"/>
      <c r="P560" s="16"/>
      <c r="Q560" s="16"/>
      <c r="R560" s="16"/>
      <c r="S560" s="16"/>
      <c r="T560" s="16"/>
      <c r="U560" s="16"/>
      <c r="V560" s="16"/>
    </row>
    <row r="561" spans="1:22" ht="13.2">
      <c r="A561" s="12"/>
      <c r="B561" s="46"/>
      <c r="C561" s="12"/>
      <c r="D561" s="15"/>
      <c r="E561" s="15"/>
      <c r="F561" s="15"/>
      <c r="G561" s="16"/>
      <c r="H561" s="16"/>
      <c r="I561" s="16"/>
      <c r="J561" s="16"/>
      <c r="K561" s="16"/>
      <c r="L561" s="16"/>
      <c r="M561" s="15"/>
      <c r="N561" s="16"/>
      <c r="O561" s="16"/>
      <c r="P561" s="16"/>
      <c r="Q561" s="16"/>
      <c r="R561" s="16"/>
      <c r="S561" s="16"/>
      <c r="T561" s="16"/>
      <c r="U561" s="16"/>
      <c r="V561" s="16"/>
    </row>
    <row r="562" spans="1:22" ht="13.2">
      <c r="A562" s="12"/>
      <c r="B562" s="46"/>
      <c r="C562" s="12"/>
      <c r="D562" s="15"/>
      <c r="E562" s="15"/>
      <c r="F562" s="15"/>
      <c r="G562" s="16"/>
      <c r="H562" s="16"/>
      <c r="I562" s="16"/>
      <c r="J562" s="16"/>
      <c r="K562" s="16"/>
      <c r="L562" s="16"/>
      <c r="M562" s="15"/>
      <c r="N562" s="16"/>
      <c r="O562" s="16"/>
      <c r="P562" s="16"/>
      <c r="Q562" s="16"/>
      <c r="R562" s="16"/>
      <c r="S562" s="16"/>
      <c r="T562" s="16"/>
      <c r="U562" s="16"/>
      <c r="V562" s="16"/>
    </row>
    <row r="563" spans="1:22" ht="13.2">
      <c r="A563" s="12"/>
      <c r="B563" s="46"/>
      <c r="C563" s="12"/>
      <c r="D563" s="15"/>
      <c r="E563" s="15"/>
      <c r="F563" s="15"/>
      <c r="G563" s="16"/>
      <c r="H563" s="16"/>
      <c r="I563" s="16"/>
      <c r="J563" s="16"/>
      <c r="K563" s="16"/>
      <c r="L563" s="16"/>
      <c r="M563" s="15"/>
      <c r="N563" s="16"/>
      <c r="O563" s="16"/>
      <c r="P563" s="16"/>
      <c r="Q563" s="16"/>
      <c r="R563" s="16"/>
      <c r="S563" s="16"/>
      <c r="T563" s="16"/>
      <c r="U563" s="16"/>
      <c r="V563" s="16"/>
    </row>
    <row r="564" spans="1:22" ht="13.2">
      <c r="A564" s="12"/>
      <c r="B564" s="46"/>
      <c r="C564" s="12"/>
      <c r="D564" s="15"/>
      <c r="E564" s="15"/>
      <c r="F564" s="15"/>
      <c r="G564" s="16"/>
      <c r="H564" s="16"/>
      <c r="I564" s="16"/>
      <c r="J564" s="16"/>
      <c r="K564" s="16"/>
      <c r="L564" s="16"/>
      <c r="M564" s="15"/>
      <c r="N564" s="16"/>
      <c r="O564" s="16"/>
      <c r="P564" s="16"/>
      <c r="Q564" s="16"/>
      <c r="R564" s="16"/>
      <c r="S564" s="16"/>
      <c r="T564" s="16"/>
      <c r="U564" s="16"/>
      <c r="V564" s="16"/>
    </row>
    <row r="565" spans="1:22" ht="13.2">
      <c r="A565" s="12"/>
      <c r="B565" s="46"/>
      <c r="C565" s="12"/>
      <c r="D565" s="15"/>
      <c r="E565" s="15"/>
      <c r="F565" s="15"/>
      <c r="G565" s="16"/>
      <c r="H565" s="16"/>
      <c r="I565" s="16"/>
      <c r="J565" s="16"/>
      <c r="K565" s="16"/>
      <c r="L565" s="16"/>
      <c r="M565" s="15"/>
      <c r="N565" s="16"/>
      <c r="O565" s="16"/>
      <c r="P565" s="16"/>
      <c r="Q565" s="16"/>
      <c r="R565" s="16"/>
      <c r="S565" s="16"/>
      <c r="T565" s="16"/>
      <c r="U565" s="16"/>
      <c r="V565" s="16"/>
    </row>
    <row r="566" spans="1:22" ht="13.2">
      <c r="A566" s="12"/>
      <c r="B566" s="46"/>
      <c r="C566" s="12"/>
      <c r="D566" s="15"/>
      <c r="E566" s="15"/>
      <c r="F566" s="15"/>
      <c r="G566" s="16"/>
      <c r="H566" s="16"/>
      <c r="I566" s="16"/>
      <c r="J566" s="16"/>
      <c r="K566" s="16"/>
      <c r="L566" s="16"/>
      <c r="M566" s="15"/>
      <c r="N566" s="16"/>
      <c r="O566" s="16"/>
      <c r="P566" s="16"/>
      <c r="Q566" s="16"/>
      <c r="R566" s="16"/>
      <c r="S566" s="16"/>
      <c r="T566" s="16"/>
      <c r="U566" s="16"/>
      <c r="V566" s="16"/>
    </row>
    <row r="567" spans="1:22" ht="13.2">
      <c r="A567" s="12"/>
      <c r="B567" s="46"/>
      <c r="C567" s="12"/>
      <c r="D567" s="15"/>
      <c r="E567" s="15"/>
      <c r="F567" s="15"/>
      <c r="G567" s="16"/>
      <c r="H567" s="16"/>
      <c r="I567" s="16"/>
      <c r="J567" s="16"/>
      <c r="K567" s="16"/>
      <c r="L567" s="16"/>
      <c r="M567" s="15"/>
      <c r="N567" s="16"/>
      <c r="O567" s="16"/>
      <c r="P567" s="16"/>
      <c r="Q567" s="16"/>
      <c r="R567" s="16"/>
      <c r="S567" s="16"/>
      <c r="T567" s="16"/>
      <c r="U567" s="16"/>
      <c r="V567" s="16"/>
    </row>
    <row r="568" spans="1:22" ht="13.2">
      <c r="A568" s="12"/>
      <c r="B568" s="46"/>
      <c r="C568" s="12"/>
      <c r="D568" s="15"/>
      <c r="E568" s="15"/>
      <c r="F568" s="15"/>
      <c r="G568" s="16"/>
      <c r="H568" s="16"/>
      <c r="I568" s="16"/>
      <c r="J568" s="16"/>
      <c r="K568" s="16"/>
      <c r="L568" s="16"/>
      <c r="M568" s="15"/>
      <c r="N568" s="16"/>
      <c r="O568" s="16"/>
      <c r="P568" s="16"/>
      <c r="Q568" s="16"/>
      <c r="R568" s="16"/>
      <c r="S568" s="16"/>
      <c r="T568" s="16"/>
      <c r="U568" s="16"/>
      <c r="V568" s="16"/>
    </row>
    <row r="569" spans="1:22" ht="13.2">
      <c r="A569" s="12"/>
      <c r="B569" s="46"/>
      <c r="C569" s="12"/>
      <c r="D569" s="15"/>
      <c r="E569" s="15"/>
      <c r="F569" s="15"/>
      <c r="G569" s="16"/>
      <c r="H569" s="16"/>
      <c r="I569" s="16"/>
      <c r="J569" s="16"/>
      <c r="K569" s="16"/>
      <c r="L569" s="16"/>
      <c r="M569" s="15"/>
      <c r="N569" s="16"/>
      <c r="O569" s="16"/>
      <c r="P569" s="16"/>
      <c r="Q569" s="16"/>
      <c r="R569" s="16"/>
      <c r="S569" s="16"/>
      <c r="T569" s="16"/>
      <c r="U569" s="16"/>
      <c r="V569" s="16"/>
    </row>
    <row r="570" spans="1:22" ht="13.2">
      <c r="A570" s="12"/>
      <c r="B570" s="46"/>
      <c r="C570" s="12"/>
      <c r="D570" s="15"/>
      <c r="E570" s="15"/>
      <c r="F570" s="15"/>
      <c r="G570" s="16"/>
      <c r="H570" s="16"/>
      <c r="I570" s="16"/>
      <c r="J570" s="16"/>
      <c r="K570" s="16"/>
      <c r="L570" s="16"/>
      <c r="M570" s="15"/>
      <c r="N570" s="16"/>
      <c r="O570" s="16"/>
      <c r="P570" s="16"/>
      <c r="Q570" s="16"/>
      <c r="R570" s="16"/>
      <c r="S570" s="16"/>
      <c r="T570" s="16"/>
      <c r="U570" s="16"/>
      <c r="V570" s="16"/>
    </row>
    <row r="571" spans="1:22" ht="13.2">
      <c r="A571" s="12"/>
      <c r="B571" s="46"/>
      <c r="C571" s="12"/>
      <c r="D571" s="15"/>
      <c r="E571" s="15"/>
      <c r="F571" s="15"/>
      <c r="G571" s="16"/>
      <c r="H571" s="16"/>
      <c r="I571" s="16"/>
      <c r="J571" s="16"/>
      <c r="K571" s="16"/>
      <c r="L571" s="16"/>
      <c r="M571" s="15"/>
      <c r="N571" s="16"/>
      <c r="O571" s="16"/>
      <c r="P571" s="16"/>
      <c r="Q571" s="16"/>
      <c r="R571" s="16"/>
      <c r="S571" s="16"/>
      <c r="T571" s="16"/>
      <c r="U571" s="16"/>
      <c r="V571" s="16"/>
    </row>
    <row r="572" spans="1:22" ht="13.2">
      <c r="A572" s="12"/>
      <c r="B572" s="46"/>
      <c r="C572" s="12"/>
      <c r="D572" s="15"/>
      <c r="E572" s="15"/>
      <c r="F572" s="15"/>
      <c r="G572" s="16"/>
      <c r="H572" s="16"/>
      <c r="I572" s="16"/>
      <c r="J572" s="16"/>
      <c r="K572" s="16"/>
      <c r="L572" s="16"/>
      <c r="M572" s="15"/>
      <c r="N572" s="16"/>
      <c r="O572" s="16"/>
      <c r="P572" s="16"/>
      <c r="Q572" s="16"/>
      <c r="R572" s="16"/>
      <c r="S572" s="16"/>
      <c r="T572" s="16"/>
      <c r="U572" s="16"/>
      <c r="V572" s="16"/>
    </row>
    <row r="573" spans="1:22" ht="13.2">
      <c r="A573" s="12"/>
      <c r="B573" s="46"/>
      <c r="C573" s="12"/>
      <c r="D573" s="15"/>
      <c r="E573" s="15"/>
      <c r="F573" s="15"/>
      <c r="G573" s="16"/>
      <c r="H573" s="16"/>
      <c r="I573" s="16"/>
      <c r="J573" s="16"/>
      <c r="K573" s="16"/>
      <c r="L573" s="16"/>
      <c r="M573" s="15"/>
      <c r="N573" s="16"/>
      <c r="O573" s="16"/>
      <c r="P573" s="16"/>
      <c r="Q573" s="16"/>
      <c r="R573" s="16"/>
      <c r="S573" s="16"/>
      <c r="T573" s="16"/>
      <c r="U573" s="16"/>
      <c r="V573" s="16"/>
    </row>
    <row r="574" spans="1:22" ht="13.2">
      <c r="A574" s="12"/>
      <c r="B574" s="46"/>
      <c r="C574" s="12"/>
      <c r="D574" s="15"/>
      <c r="E574" s="15"/>
      <c r="F574" s="15"/>
      <c r="G574" s="16"/>
      <c r="H574" s="16"/>
      <c r="I574" s="16"/>
      <c r="J574" s="16"/>
      <c r="K574" s="16"/>
      <c r="L574" s="16"/>
      <c r="M574" s="15"/>
      <c r="N574" s="16"/>
      <c r="O574" s="16"/>
      <c r="P574" s="16"/>
      <c r="Q574" s="16"/>
      <c r="R574" s="16"/>
      <c r="S574" s="16"/>
      <c r="T574" s="16"/>
      <c r="U574" s="16"/>
      <c r="V574" s="16"/>
    </row>
    <row r="575" spans="1:22" ht="13.2">
      <c r="A575" s="12"/>
      <c r="B575" s="46"/>
      <c r="C575" s="12"/>
      <c r="D575" s="15"/>
      <c r="E575" s="15"/>
      <c r="F575" s="15"/>
      <c r="G575" s="16"/>
      <c r="H575" s="16"/>
      <c r="I575" s="16"/>
      <c r="J575" s="16"/>
      <c r="K575" s="16"/>
      <c r="L575" s="16"/>
      <c r="M575" s="15"/>
      <c r="N575" s="16"/>
      <c r="O575" s="16"/>
      <c r="P575" s="16"/>
      <c r="Q575" s="16"/>
      <c r="R575" s="16"/>
      <c r="S575" s="16"/>
      <c r="T575" s="16"/>
      <c r="U575" s="16"/>
      <c r="V575" s="16"/>
    </row>
    <row r="576" spans="1:22" ht="13.2">
      <c r="A576" s="12"/>
      <c r="B576" s="46"/>
      <c r="C576" s="12"/>
      <c r="D576" s="15"/>
      <c r="E576" s="15"/>
      <c r="F576" s="15"/>
      <c r="G576" s="16"/>
      <c r="H576" s="16"/>
      <c r="I576" s="16"/>
      <c r="J576" s="16"/>
      <c r="K576" s="16"/>
      <c r="L576" s="16"/>
      <c r="M576" s="15"/>
      <c r="N576" s="16"/>
      <c r="O576" s="16"/>
      <c r="P576" s="16"/>
      <c r="Q576" s="16"/>
      <c r="R576" s="16"/>
      <c r="S576" s="16"/>
      <c r="T576" s="16"/>
      <c r="U576" s="16"/>
      <c r="V576" s="16"/>
    </row>
    <row r="577" spans="1:22" ht="13.2">
      <c r="A577" s="12"/>
      <c r="B577" s="46"/>
      <c r="C577" s="12"/>
      <c r="D577" s="15"/>
      <c r="E577" s="15"/>
      <c r="F577" s="15"/>
      <c r="G577" s="16"/>
      <c r="H577" s="16"/>
      <c r="I577" s="16"/>
      <c r="J577" s="16"/>
      <c r="K577" s="16"/>
      <c r="L577" s="16"/>
      <c r="M577" s="15"/>
      <c r="N577" s="16"/>
      <c r="O577" s="16"/>
      <c r="P577" s="16"/>
      <c r="Q577" s="16"/>
      <c r="R577" s="16"/>
      <c r="S577" s="16"/>
      <c r="T577" s="16"/>
      <c r="U577" s="16"/>
      <c r="V577" s="16"/>
    </row>
    <row r="578" spans="1:22" ht="13.2">
      <c r="A578" s="12"/>
      <c r="B578" s="46"/>
      <c r="C578" s="12"/>
      <c r="D578" s="15"/>
      <c r="E578" s="15"/>
      <c r="F578" s="15"/>
      <c r="G578" s="16"/>
      <c r="H578" s="16"/>
      <c r="I578" s="16"/>
      <c r="J578" s="16"/>
      <c r="K578" s="16"/>
      <c r="L578" s="16"/>
      <c r="M578" s="15"/>
      <c r="N578" s="16"/>
      <c r="O578" s="16"/>
      <c r="P578" s="16"/>
      <c r="Q578" s="16"/>
      <c r="R578" s="16"/>
      <c r="S578" s="16"/>
      <c r="T578" s="16"/>
      <c r="U578" s="16"/>
      <c r="V578" s="16"/>
    </row>
    <row r="579" spans="1:22" ht="13.2">
      <c r="A579" s="12"/>
      <c r="B579" s="46"/>
      <c r="C579" s="12"/>
      <c r="D579" s="15"/>
      <c r="E579" s="15"/>
      <c r="F579" s="15"/>
      <c r="G579" s="16"/>
      <c r="H579" s="16"/>
      <c r="I579" s="16"/>
      <c r="J579" s="16"/>
      <c r="K579" s="16"/>
      <c r="L579" s="16"/>
      <c r="M579" s="15"/>
      <c r="N579" s="16"/>
      <c r="O579" s="16"/>
      <c r="P579" s="16"/>
      <c r="Q579" s="16"/>
      <c r="R579" s="16"/>
      <c r="S579" s="16"/>
      <c r="T579" s="16"/>
      <c r="U579" s="16"/>
      <c r="V579" s="16"/>
    </row>
    <row r="580" spans="1:22" ht="13.2">
      <c r="A580" s="12"/>
      <c r="B580" s="46"/>
      <c r="C580" s="12"/>
      <c r="D580" s="15"/>
      <c r="E580" s="15"/>
      <c r="F580" s="15"/>
      <c r="G580" s="16"/>
      <c r="H580" s="16"/>
      <c r="I580" s="16"/>
      <c r="J580" s="16"/>
      <c r="K580" s="16"/>
      <c r="L580" s="16"/>
      <c r="M580" s="15"/>
      <c r="N580" s="16"/>
      <c r="O580" s="16"/>
      <c r="P580" s="16"/>
      <c r="Q580" s="16"/>
      <c r="R580" s="16"/>
      <c r="S580" s="16"/>
      <c r="T580" s="16"/>
      <c r="U580" s="16"/>
      <c r="V580" s="16"/>
    </row>
    <row r="581" spans="1:22" ht="13.2">
      <c r="A581" s="12"/>
      <c r="B581" s="46"/>
      <c r="C581" s="12"/>
      <c r="D581" s="15"/>
      <c r="E581" s="15"/>
      <c r="F581" s="15"/>
      <c r="G581" s="16"/>
      <c r="H581" s="16"/>
      <c r="I581" s="16"/>
      <c r="J581" s="16"/>
      <c r="K581" s="16"/>
      <c r="L581" s="16"/>
      <c r="M581" s="15"/>
      <c r="N581" s="16"/>
      <c r="O581" s="16"/>
      <c r="P581" s="16"/>
      <c r="Q581" s="16"/>
      <c r="R581" s="16"/>
      <c r="S581" s="16"/>
      <c r="T581" s="16"/>
      <c r="U581" s="16"/>
      <c r="V581" s="16"/>
    </row>
    <row r="582" spans="1:22" ht="13.2">
      <c r="A582" s="12"/>
      <c r="B582" s="46"/>
      <c r="C582" s="12"/>
      <c r="D582" s="15"/>
      <c r="E582" s="15"/>
      <c r="F582" s="15"/>
      <c r="G582" s="16"/>
      <c r="H582" s="16"/>
      <c r="I582" s="16"/>
      <c r="J582" s="16"/>
      <c r="K582" s="16"/>
      <c r="L582" s="16"/>
      <c r="M582" s="15"/>
      <c r="N582" s="16"/>
      <c r="O582" s="16"/>
      <c r="P582" s="16"/>
      <c r="Q582" s="16"/>
      <c r="R582" s="16"/>
      <c r="S582" s="16"/>
      <c r="T582" s="16"/>
      <c r="U582" s="16"/>
      <c r="V582" s="16"/>
    </row>
    <row r="583" spans="1:22" ht="13.2">
      <c r="A583" s="12"/>
      <c r="B583" s="46"/>
      <c r="C583" s="12"/>
      <c r="D583" s="15"/>
      <c r="E583" s="15"/>
      <c r="F583" s="15"/>
      <c r="G583" s="16"/>
      <c r="H583" s="16"/>
      <c r="I583" s="16"/>
      <c r="J583" s="16"/>
      <c r="K583" s="16"/>
      <c r="L583" s="16"/>
      <c r="M583" s="15"/>
      <c r="N583" s="16"/>
      <c r="O583" s="16"/>
      <c r="P583" s="16"/>
      <c r="Q583" s="16"/>
      <c r="R583" s="16"/>
      <c r="S583" s="16"/>
      <c r="T583" s="16"/>
      <c r="U583" s="16"/>
      <c r="V583" s="16"/>
    </row>
    <row r="584" spans="1:22" ht="13.2">
      <c r="A584" s="12"/>
      <c r="B584" s="46"/>
      <c r="C584" s="12"/>
      <c r="D584" s="15"/>
      <c r="E584" s="15"/>
      <c r="F584" s="15"/>
      <c r="G584" s="16"/>
      <c r="H584" s="16"/>
      <c r="I584" s="16"/>
      <c r="J584" s="16"/>
      <c r="K584" s="16"/>
      <c r="L584" s="16"/>
      <c r="M584" s="15"/>
      <c r="N584" s="16"/>
      <c r="O584" s="16"/>
      <c r="P584" s="16"/>
      <c r="Q584" s="16"/>
      <c r="R584" s="16"/>
      <c r="S584" s="16"/>
      <c r="T584" s="16"/>
      <c r="U584" s="16"/>
      <c r="V584" s="16"/>
    </row>
    <row r="585" spans="1:22" ht="13.2">
      <c r="A585" s="12"/>
      <c r="B585" s="46"/>
      <c r="C585" s="12"/>
      <c r="D585" s="15"/>
      <c r="E585" s="15"/>
      <c r="F585" s="15"/>
      <c r="G585" s="16"/>
      <c r="H585" s="16"/>
      <c r="I585" s="16"/>
      <c r="J585" s="16"/>
      <c r="K585" s="16"/>
      <c r="L585" s="16"/>
      <c r="M585" s="15"/>
      <c r="N585" s="16"/>
      <c r="O585" s="16"/>
      <c r="P585" s="16"/>
      <c r="Q585" s="16"/>
      <c r="R585" s="16"/>
      <c r="S585" s="16"/>
      <c r="T585" s="16"/>
      <c r="U585" s="16"/>
      <c r="V585" s="16"/>
    </row>
    <row r="586" spans="1:22" ht="13.2">
      <c r="A586" s="12"/>
      <c r="B586" s="46"/>
      <c r="C586" s="12"/>
      <c r="D586" s="15"/>
      <c r="E586" s="15"/>
      <c r="F586" s="15"/>
      <c r="G586" s="16"/>
      <c r="H586" s="16"/>
      <c r="I586" s="16"/>
      <c r="J586" s="16"/>
      <c r="K586" s="16"/>
      <c r="L586" s="16"/>
      <c r="M586" s="15"/>
      <c r="N586" s="16"/>
      <c r="O586" s="16"/>
      <c r="P586" s="16"/>
      <c r="Q586" s="16"/>
      <c r="R586" s="16"/>
      <c r="S586" s="16"/>
      <c r="T586" s="16"/>
      <c r="U586" s="16"/>
      <c r="V586" s="16"/>
    </row>
    <row r="587" spans="1:22" ht="13.2">
      <c r="A587" s="12"/>
      <c r="B587" s="46"/>
      <c r="C587" s="12"/>
      <c r="D587" s="15"/>
      <c r="E587" s="15"/>
      <c r="F587" s="15"/>
      <c r="G587" s="16"/>
      <c r="H587" s="16"/>
      <c r="I587" s="16"/>
      <c r="J587" s="16"/>
      <c r="K587" s="16"/>
      <c r="L587" s="16"/>
      <c r="M587" s="15"/>
      <c r="N587" s="16"/>
      <c r="O587" s="16"/>
      <c r="P587" s="16"/>
      <c r="Q587" s="16"/>
      <c r="R587" s="16"/>
      <c r="S587" s="16"/>
      <c r="T587" s="16"/>
      <c r="U587" s="16"/>
      <c r="V587" s="16"/>
    </row>
    <row r="588" spans="1:22" ht="13.2">
      <c r="A588" s="12"/>
      <c r="B588" s="46"/>
      <c r="C588" s="12"/>
      <c r="D588" s="15"/>
      <c r="E588" s="15"/>
      <c r="F588" s="15"/>
      <c r="G588" s="16"/>
      <c r="H588" s="16"/>
      <c r="I588" s="16"/>
      <c r="J588" s="16"/>
      <c r="K588" s="16"/>
      <c r="L588" s="16"/>
      <c r="M588" s="15"/>
      <c r="N588" s="16"/>
      <c r="O588" s="16"/>
      <c r="P588" s="16"/>
      <c r="Q588" s="16"/>
      <c r="R588" s="16"/>
      <c r="S588" s="16"/>
      <c r="T588" s="16"/>
      <c r="U588" s="16"/>
      <c r="V588" s="16"/>
    </row>
    <row r="589" spans="1:22" ht="13.2">
      <c r="A589" s="12"/>
      <c r="B589" s="46"/>
      <c r="C589" s="12"/>
      <c r="D589" s="15"/>
      <c r="E589" s="15"/>
      <c r="F589" s="15"/>
      <c r="G589" s="16"/>
      <c r="H589" s="16"/>
      <c r="I589" s="16"/>
      <c r="J589" s="16"/>
      <c r="K589" s="16"/>
      <c r="L589" s="16"/>
      <c r="M589" s="15"/>
      <c r="N589" s="16"/>
      <c r="O589" s="16"/>
      <c r="P589" s="16"/>
      <c r="Q589" s="16"/>
      <c r="R589" s="16"/>
      <c r="S589" s="16"/>
      <c r="T589" s="16"/>
      <c r="U589" s="16"/>
      <c r="V589" s="16"/>
    </row>
    <row r="590" spans="1:22" ht="13.2">
      <c r="A590" s="12"/>
      <c r="B590" s="46"/>
      <c r="C590" s="12"/>
      <c r="D590" s="15"/>
      <c r="E590" s="15"/>
      <c r="F590" s="15"/>
      <c r="G590" s="16"/>
      <c r="H590" s="16"/>
      <c r="I590" s="16"/>
      <c r="J590" s="16"/>
      <c r="K590" s="16"/>
      <c r="L590" s="16"/>
      <c r="M590" s="15"/>
      <c r="N590" s="16"/>
      <c r="O590" s="16"/>
      <c r="P590" s="16"/>
      <c r="Q590" s="16"/>
      <c r="R590" s="16"/>
      <c r="S590" s="16"/>
      <c r="T590" s="16"/>
      <c r="U590" s="16"/>
      <c r="V590" s="16"/>
    </row>
    <row r="591" spans="1:22" ht="13.2">
      <c r="A591" s="12"/>
      <c r="B591" s="46"/>
      <c r="C591" s="12"/>
      <c r="D591" s="15"/>
      <c r="E591" s="15"/>
      <c r="F591" s="15"/>
      <c r="G591" s="16"/>
      <c r="H591" s="16"/>
      <c r="I591" s="16"/>
      <c r="J591" s="16"/>
      <c r="K591" s="16"/>
      <c r="L591" s="16"/>
      <c r="M591" s="15"/>
      <c r="N591" s="16"/>
      <c r="O591" s="16"/>
      <c r="P591" s="16"/>
      <c r="Q591" s="16"/>
      <c r="R591" s="16"/>
      <c r="S591" s="16"/>
      <c r="T591" s="16"/>
      <c r="U591" s="16"/>
      <c r="V591" s="16"/>
    </row>
    <row r="592" spans="1:22" ht="13.2">
      <c r="A592" s="12"/>
      <c r="B592" s="46"/>
      <c r="C592" s="12"/>
      <c r="D592" s="15"/>
      <c r="E592" s="15"/>
      <c r="F592" s="15"/>
      <c r="G592" s="16"/>
      <c r="H592" s="16"/>
      <c r="I592" s="16"/>
      <c r="J592" s="16"/>
      <c r="K592" s="16"/>
      <c r="L592" s="16"/>
      <c r="M592" s="15"/>
      <c r="N592" s="16"/>
      <c r="O592" s="16"/>
      <c r="P592" s="16"/>
      <c r="Q592" s="16"/>
      <c r="R592" s="16"/>
      <c r="S592" s="16"/>
      <c r="T592" s="16"/>
      <c r="U592" s="16"/>
      <c r="V592" s="16"/>
    </row>
    <row r="593" spans="1:22" ht="13.2">
      <c r="A593" s="12"/>
      <c r="B593" s="46"/>
      <c r="C593" s="12"/>
      <c r="D593" s="15"/>
      <c r="E593" s="15"/>
      <c r="F593" s="15"/>
      <c r="G593" s="16"/>
      <c r="H593" s="16"/>
      <c r="I593" s="16"/>
      <c r="J593" s="16"/>
      <c r="K593" s="16"/>
      <c r="L593" s="16"/>
      <c r="M593" s="15"/>
      <c r="N593" s="16"/>
      <c r="O593" s="16"/>
      <c r="P593" s="16"/>
      <c r="Q593" s="16"/>
      <c r="R593" s="16"/>
      <c r="S593" s="16"/>
      <c r="T593" s="16"/>
      <c r="U593" s="16"/>
      <c r="V593" s="16"/>
    </row>
    <row r="594" spans="1:22" ht="13.2">
      <c r="A594" s="12"/>
      <c r="B594" s="46"/>
      <c r="C594" s="12"/>
      <c r="D594" s="15"/>
      <c r="E594" s="15"/>
      <c r="F594" s="15"/>
      <c r="G594" s="16"/>
      <c r="H594" s="16"/>
      <c r="I594" s="16"/>
      <c r="J594" s="16"/>
      <c r="K594" s="16"/>
      <c r="L594" s="16"/>
      <c r="M594" s="15"/>
      <c r="N594" s="16"/>
      <c r="O594" s="16"/>
      <c r="P594" s="16"/>
      <c r="Q594" s="16"/>
      <c r="R594" s="16"/>
      <c r="S594" s="16"/>
      <c r="T594" s="16"/>
      <c r="U594" s="16"/>
      <c r="V594" s="16"/>
    </row>
    <row r="595" spans="1:22" ht="13.2">
      <c r="A595" s="12"/>
      <c r="B595" s="46"/>
      <c r="C595" s="12"/>
      <c r="D595" s="15"/>
      <c r="E595" s="15"/>
      <c r="F595" s="15"/>
      <c r="G595" s="16"/>
      <c r="H595" s="16"/>
      <c r="I595" s="16"/>
      <c r="J595" s="16"/>
      <c r="K595" s="16"/>
      <c r="L595" s="16"/>
      <c r="M595" s="15"/>
      <c r="N595" s="16"/>
      <c r="O595" s="16"/>
      <c r="P595" s="16"/>
      <c r="Q595" s="16"/>
      <c r="R595" s="16"/>
      <c r="S595" s="16"/>
      <c r="T595" s="16"/>
      <c r="U595" s="16"/>
      <c r="V595" s="16"/>
    </row>
    <row r="596" spans="1:22" ht="13.2">
      <c r="A596" s="12"/>
      <c r="B596" s="46"/>
      <c r="C596" s="12"/>
      <c r="D596" s="15"/>
      <c r="E596" s="15"/>
      <c r="F596" s="15"/>
      <c r="G596" s="16"/>
      <c r="H596" s="16"/>
      <c r="I596" s="16"/>
      <c r="J596" s="16"/>
      <c r="K596" s="16"/>
      <c r="L596" s="16"/>
      <c r="M596" s="15"/>
      <c r="N596" s="16"/>
      <c r="O596" s="16"/>
      <c r="P596" s="16"/>
      <c r="Q596" s="16"/>
      <c r="R596" s="16"/>
      <c r="S596" s="16"/>
      <c r="T596" s="16"/>
      <c r="U596" s="16"/>
      <c r="V596" s="16"/>
    </row>
    <row r="597" spans="1:22" ht="13.2">
      <c r="A597" s="12"/>
      <c r="B597" s="46"/>
      <c r="C597" s="12"/>
      <c r="D597" s="15"/>
      <c r="E597" s="15"/>
      <c r="F597" s="15"/>
      <c r="G597" s="16"/>
      <c r="H597" s="16"/>
      <c r="I597" s="16"/>
      <c r="J597" s="16"/>
      <c r="K597" s="16"/>
      <c r="L597" s="16"/>
      <c r="M597" s="15"/>
      <c r="N597" s="16"/>
      <c r="O597" s="16"/>
      <c r="P597" s="16"/>
      <c r="Q597" s="16"/>
      <c r="R597" s="16"/>
      <c r="S597" s="16"/>
      <c r="T597" s="16"/>
      <c r="U597" s="16"/>
      <c r="V597" s="16"/>
    </row>
    <row r="598" spans="1:22" ht="13.2">
      <c r="A598" s="12"/>
      <c r="B598" s="46"/>
      <c r="C598" s="12"/>
      <c r="D598" s="15"/>
      <c r="E598" s="15"/>
      <c r="F598" s="15"/>
      <c r="G598" s="16"/>
      <c r="H598" s="16"/>
      <c r="I598" s="16"/>
      <c r="J598" s="16"/>
      <c r="K598" s="16"/>
      <c r="L598" s="16"/>
      <c r="M598" s="15"/>
      <c r="N598" s="16"/>
      <c r="O598" s="16"/>
      <c r="P598" s="16"/>
      <c r="Q598" s="16"/>
      <c r="R598" s="16"/>
      <c r="S598" s="16"/>
      <c r="T598" s="16"/>
      <c r="U598" s="16"/>
      <c r="V598" s="16"/>
    </row>
    <row r="599" spans="1:22" ht="13.2">
      <c r="A599" s="12"/>
      <c r="B599" s="46"/>
      <c r="C599" s="12"/>
      <c r="D599" s="15"/>
      <c r="E599" s="15"/>
      <c r="F599" s="15"/>
      <c r="G599" s="16"/>
      <c r="H599" s="16"/>
      <c r="I599" s="16"/>
      <c r="J599" s="16"/>
      <c r="K599" s="16"/>
      <c r="L599" s="16"/>
      <c r="M599" s="15"/>
      <c r="N599" s="16"/>
      <c r="O599" s="16"/>
      <c r="P599" s="16"/>
      <c r="Q599" s="16"/>
      <c r="R599" s="16"/>
      <c r="S599" s="16"/>
      <c r="T599" s="16"/>
      <c r="U599" s="16"/>
      <c r="V599" s="16"/>
    </row>
    <row r="600" spans="1:22" ht="13.2">
      <c r="A600" s="12"/>
      <c r="B600" s="46"/>
      <c r="C600" s="12"/>
      <c r="D600" s="15"/>
      <c r="E600" s="15"/>
      <c r="F600" s="15"/>
      <c r="G600" s="16"/>
      <c r="H600" s="16"/>
      <c r="I600" s="16"/>
      <c r="J600" s="16"/>
      <c r="K600" s="16"/>
      <c r="L600" s="16"/>
      <c r="M600" s="15"/>
      <c r="N600" s="16"/>
      <c r="O600" s="16"/>
      <c r="P600" s="16"/>
      <c r="Q600" s="16"/>
      <c r="R600" s="16"/>
      <c r="S600" s="16"/>
      <c r="T600" s="16"/>
      <c r="U600" s="16"/>
      <c r="V600" s="16"/>
    </row>
    <row r="601" spans="1:22" ht="13.2">
      <c r="A601" s="12"/>
      <c r="B601" s="46"/>
      <c r="C601" s="12"/>
      <c r="D601" s="15"/>
      <c r="E601" s="15"/>
      <c r="F601" s="15"/>
      <c r="G601" s="16"/>
      <c r="H601" s="16"/>
      <c r="I601" s="16"/>
      <c r="J601" s="16"/>
      <c r="K601" s="16"/>
      <c r="L601" s="16"/>
      <c r="M601" s="15"/>
      <c r="N601" s="16"/>
      <c r="O601" s="16"/>
      <c r="P601" s="16"/>
      <c r="Q601" s="16"/>
      <c r="R601" s="16"/>
      <c r="S601" s="16"/>
      <c r="T601" s="16"/>
      <c r="U601" s="16"/>
      <c r="V601" s="16"/>
    </row>
    <row r="602" spans="1:22" ht="13.2">
      <c r="A602" s="12"/>
      <c r="B602" s="46"/>
      <c r="C602" s="12"/>
      <c r="D602" s="15"/>
      <c r="E602" s="15"/>
      <c r="F602" s="15"/>
      <c r="G602" s="16"/>
      <c r="H602" s="16"/>
      <c r="I602" s="16"/>
      <c r="J602" s="16"/>
      <c r="K602" s="16"/>
      <c r="L602" s="16"/>
      <c r="M602" s="15"/>
      <c r="N602" s="16"/>
      <c r="O602" s="16"/>
      <c r="P602" s="16"/>
      <c r="Q602" s="16"/>
      <c r="R602" s="16"/>
      <c r="S602" s="16"/>
      <c r="T602" s="16"/>
      <c r="U602" s="16"/>
      <c r="V602" s="16"/>
    </row>
    <row r="603" spans="1:22" ht="13.2">
      <c r="A603" s="12"/>
      <c r="B603" s="46"/>
      <c r="C603" s="12"/>
      <c r="D603" s="15"/>
      <c r="E603" s="15"/>
      <c r="F603" s="15"/>
      <c r="G603" s="16"/>
      <c r="H603" s="16"/>
      <c r="I603" s="16"/>
      <c r="J603" s="16"/>
      <c r="K603" s="16"/>
      <c r="L603" s="16"/>
      <c r="M603" s="15"/>
      <c r="N603" s="16"/>
      <c r="O603" s="16"/>
      <c r="P603" s="16"/>
      <c r="Q603" s="16"/>
      <c r="R603" s="16"/>
      <c r="S603" s="16"/>
      <c r="T603" s="16"/>
      <c r="U603" s="16"/>
      <c r="V603" s="16"/>
    </row>
    <row r="604" spans="1:22" ht="13.2">
      <c r="A604" s="12"/>
      <c r="B604" s="46"/>
      <c r="C604" s="12"/>
      <c r="D604" s="15"/>
      <c r="E604" s="15"/>
      <c r="F604" s="15"/>
      <c r="G604" s="16"/>
      <c r="H604" s="16"/>
      <c r="I604" s="16"/>
      <c r="J604" s="16"/>
      <c r="K604" s="16"/>
      <c r="L604" s="16"/>
      <c r="M604" s="15"/>
      <c r="N604" s="16"/>
      <c r="O604" s="16"/>
      <c r="P604" s="16"/>
      <c r="Q604" s="16"/>
      <c r="R604" s="16"/>
      <c r="S604" s="16"/>
      <c r="T604" s="16"/>
      <c r="U604" s="16"/>
      <c r="V604" s="16"/>
    </row>
    <row r="605" spans="1:22" ht="13.2">
      <c r="A605" s="12"/>
      <c r="B605" s="46"/>
      <c r="C605" s="12"/>
      <c r="D605" s="15"/>
      <c r="E605" s="15"/>
      <c r="F605" s="15"/>
      <c r="G605" s="16"/>
      <c r="H605" s="16"/>
      <c r="I605" s="16"/>
      <c r="J605" s="16"/>
      <c r="K605" s="16"/>
      <c r="L605" s="16"/>
      <c r="M605" s="15"/>
      <c r="N605" s="16"/>
      <c r="O605" s="16"/>
      <c r="P605" s="16"/>
      <c r="Q605" s="16"/>
      <c r="R605" s="16"/>
      <c r="S605" s="16"/>
      <c r="T605" s="16"/>
      <c r="U605" s="16"/>
      <c r="V605" s="16"/>
    </row>
    <row r="606" spans="1:22" ht="13.2">
      <c r="A606" s="12"/>
      <c r="B606" s="46"/>
      <c r="C606" s="12"/>
      <c r="D606" s="15"/>
      <c r="E606" s="15"/>
      <c r="F606" s="15"/>
      <c r="G606" s="16"/>
      <c r="H606" s="16"/>
      <c r="I606" s="16"/>
      <c r="J606" s="16"/>
      <c r="K606" s="16"/>
      <c r="L606" s="16"/>
      <c r="M606" s="15"/>
      <c r="N606" s="16"/>
      <c r="O606" s="16"/>
      <c r="P606" s="16"/>
      <c r="Q606" s="16"/>
      <c r="R606" s="16"/>
      <c r="S606" s="16"/>
      <c r="T606" s="16"/>
      <c r="U606" s="16"/>
      <c r="V606" s="16"/>
    </row>
    <row r="607" spans="1:22" ht="13.2">
      <c r="A607" s="12"/>
      <c r="B607" s="46"/>
      <c r="C607" s="12"/>
      <c r="D607" s="15"/>
      <c r="E607" s="15"/>
      <c r="F607" s="15"/>
      <c r="G607" s="16"/>
      <c r="H607" s="16"/>
      <c r="I607" s="16"/>
      <c r="J607" s="16"/>
      <c r="K607" s="16"/>
      <c r="L607" s="16"/>
      <c r="M607" s="15"/>
      <c r="N607" s="16"/>
      <c r="O607" s="16"/>
      <c r="P607" s="16"/>
      <c r="Q607" s="16"/>
      <c r="R607" s="16"/>
      <c r="S607" s="16"/>
      <c r="T607" s="16"/>
      <c r="U607" s="16"/>
      <c r="V607" s="16"/>
    </row>
    <row r="608" spans="1:22" ht="13.2">
      <c r="A608" s="12"/>
      <c r="B608" s="46"/>
      <c r="C608" s="12"/>
      <c r="D608" s="15"/>
      <c r="E608" s="15"/>
      <c r="F608" s="15"/>
      <c r="G608" s="16"/>
      <c r="H608" s="16"/>
      <c r="I608" s="16"/>
      <c r="J608" s="16"/>
      <c r="K608" s="16"/>
      <c r="L608" s="16"/>
      <c r="M608" s="15"/>
      <c r="N608" s="16"/>
      <c r="O608" s="16"/>
      <c r="P608" s="16"/>
      <c r="Q608" s="16"/>
      <c r="R608" s="16"/>
      <c r="S608" s="16"/>
      <c r="T608" s="16"/>
      <c r="U608" s="16"/>
      <c r="V608" s="16"/>
    </row>
    <row r="609" spans="1:22" ht="13.2">
      <c r="A609" s="12"/>
      <c r="B609" s="46"/>
      <c r="C609" s="12"/>
      <c r="D609" s="15"/>
      <c r="E609" s="15"/>
      <c r="F609" s="15"/>
      <c r="G609" s="16"/>
      <c r="H609" s="16"/>
      <c r="I609" s="16"/>
      <c r="J609" s="16"/>
      <c r="K609" s="16"/>
      <c r="L609" s="16"/>
      <c r="M609" s="15"/>
      <c r="N609" s="16"/>
      <c r="O609" s="16"/>
      <c r="P609" s="16"/>
      <c r="Q609" s="16"/>
      <c r="R609" s="16"/>
      <c r="S609" s="16"/>
      <c r="T609" s="16"/>
      <c r="U609" s="16"/>
      <c r="V609" s="16"/>
    </row>
    <row r="610" spans="1:22" ht="13.2">
      <c r="A610" s="12"/>
      <c r="B610" s="46"/>
      <c r="C610" s="12"/>
      <c r="D610" s="15"/>
      <c r="E610" s="15"/>
      <c r="F610" s="15"/>
      <c r="G610" s="16"/>
      <c r="H610" s="16"/>
      <c r="I610" s="16"/>
      <c r="J610" s="16"/>
      <c r="K610" s="16"/>
      <c r="L610" s="16"/>
      <c r="M610" s="15"/>
      <c r="N610" s="16"/>
      <c r="O610" s="16"/>
      <c r="P610" s="16"/>
      <c r="Q610" s="16"/>
      <c r="R610" s="16"/>
      <c r="S610" s="16"/>
      <c r="T610" s="16"/>
      <c r="U610" s="16"/>
      <c r="V610" s="16"/>
    </row>
    <row r="611" spans="1:22" ht="13.2">
      <c r="A611" s="12"/>
      <c r="B611" s="46"/>
      <c r="C611" s="12"/>
      <c r="D611" s="15"/>
      <c r="E611" s="15"/>
      <c r="F611" s="15"/>
      <c r="G611" s="16"/>
      <c r="H611" s="16"/>
      <c r="I611" s="16"/>
      <c r="J611" s="16"/>
      <c r="K611" s="16"/>
      <c r="L611" s="16"/>
      <c r="M611" s="15"/>
      <c r="N611" s="16"/>
      <c r="O611" s="16"/>
      <c r="P611" s="16"/>
      <c r="Q611" s="16"/>
      <c r="R611" s="16"/>
      <c r="S611" s="16"/>
      <c r="T611" s="16"/>
      <c r="U611" s="16"/>
      <c r="V611" s="16"/>
    </row>
    <row r="612" spans="1:22" ht="13.2">
      <c r="A612" s="12"/>
      <c r="B612" s="46"/>
      <c r="C612" s="12"/>
      <c r="D612" s="15"/>
      <c r="E612" s="15"/>
      <c r="F612" s="15"/>
      <c r="G612" s="16"/>
      <c r="H612" s="16"/>
      <c r="I612" s="16"/>
      <c r="J612" s="16"/>
      <c r="K612" s="16"/>
      <c r="L612" s="16"/>
      <c r="M612" s="15"/>
      <c r="N612" s="16"/>
      <c r="O612" s="16"/>
      <c r="P612" s="16"/>
      <c r="Q612" s="16"/>
      <c r="R612" s="16"/>
      <c r="S612" s="16"/>
      <c r="T612" s="16"/>
      <c r="U612" s="16"/>
      <c r="V612" s="16"/>
    </row>
    <row r="613" spans="1:22" ht="13.2">
      <c r="A613" s="12"/>
      <c r="B613" s="46"/>
      <c r="C613" s="12"/>
      <c r="D613" s="15"/>
      <c r="E613" s="15"/>
      <c r="F613" s="15"/>
      <c r="G613" s="16"/>
      <c r="H613" s="16"/>
      <c r="I613" s="16"/>
      <c r="J613" s="16"/>
      <c r="K613" s="16"/>
      <c r="L613" s="16"/>
      <c r="M613" s="15"/>
      <c r="N613" s="16"/>
      <c r="O613" s="16"/>
      <c r="P613" s="16"/>
      <c r="Q613" s="16"/>
      <c r="R613" s="16"/>
      <c r="S613" s="16"/>
      <c r="T613" s="16"/>
      <c r="U613" s="16"/>
      <c r="V613" s="16"/>
    </row>
    <row r="614" spans="1:22" ht="13.2">
      <c r="A614" s="12"/>
      <c r="B614" s="46"/>
      <c r="C614" s="12"/>
      <c r="D614" s="15"/>
      <c r="E614" s="15"/>
      <c r="F614" s="15"/>
      <c r="G614" s="16"/>
      <c r="H614" s="16"/>
      <c r="I614" s="16"/>
      <c r="J614" s="16"/>
      <c r="K614" s="16"/>
      <c r="L614" s="16"/>
      <c r="M614" s="15"/>
      <c r="N614" s="16"/>
      <c r="O614" s="16"/>
      <c r="P614" s="16"/>
      <c r="Q614" s="16"/>
      <c r="R614" s="16"/>
      <c r="S614" s="16"/>
      <c r="T614" s="16"/>
      <c r="U614" s="16"/>
      <c r="V614" s="16"/>
    </row>
    <row r="615" spans="1:22" ht="13.2">
      <c r="A615" s="12"/>
      <c r="B615" s="46"/>
      <c r="C615" s="12"/>
      <c r="D615" s="15"/>
      <c r="E615" s="15"/>
      <c r="F615" s="15"/>
      <c r="G615" s="16"/>
      <c r="H615" s="16"/>
      <c r="I615" s="16"/>
      <c r="J615" s="16"/>
      <c r="K615" s="16"/>
      <c r="L615" s="16"/>
      <c r="M615" s="15"/>
      <c r="N615" s="16"/>
      <c r="O615" s="16"/>
      <c r="P615" s="16"/>
      <c r="Q615" s="16"/>
      <c r="R615" s="16"/>
      <c r="S615" s="16"/>
      <c r="T615" s="16"/>
      <c r="U615" s="16"/>
      <c r="V615" s="16"/>
    </row>
    <row r="616" spans="1:22" ht="13.2">
      <c r="A616" s="12"/>
      <c r="B616" s="46"/>
      <c r="C616" s="12"/>
      <c r="D616" s="15"/>
      <c r="E616" s="15"/>
      <c r="F616" s="15"/>
      <c r="G616" s="16"/>
      <c r="H616" s="16"/>
      <c r="I616" s="16"/>
      <c r="J616" s="16"/>
      <c r="K616" s="16"/>
      <c r="L616" s="16"/>
      <c r="M616" s="15"/>
      <c r="N616" s="16"/>
      <c r="O616" s="16"/>
      <c r="P616" s="16"/>
      <c r="Q616" s="16"/>
      <c r="R616" s="16"/>
      <c r="S616" s="16"/>
      <c r="T616" s="16"/>
      <c r="U616" s="16"/>
      <c r="V616" s="16"/>
    </row>
    <row r="617" spans="1:22" ht="13.2">
      <c r="A617" s="12"/>
      <c r="B617" s="46"/>
      <c r="C617" s="12"/>
      <c r="D617" s="15"/>
      <c r="E617" s="15"/>
      <c r="F617" s="15"/>
      <c r="G617" s="16"/>
      <c r="H617" s="16"/>
      <c r="I617" s="16"/>
      <c r="J617" s="16"/>
      <c r="K617" s="16"/>
      <c r="L617" s="16"/>
      <c r="M617" s="15"/>
      <c r="N617" s="16"/>
      <c r="O617" s="16"/>
      <c r="P617" s="16"/>
      <c r="Q617" s="16"/>
      <c r="R617" s="16"/>
      <c r="S617" s="16"/>
      <c r="T617" s="16"/>
      <c r="U617" s="16"/>
      <c r="V617" s="16"/>
    </row>
    <row r="618" spans="1:22" ht="13.2">
      <c r="A618" s="12"/>
      <c r="B618" s="46"/>
      <c r="C618" s="12"/>
      <c r="D618" s="15"/>
      <c r="E618" s="15"/>
      <c r="F618" s="15"/>
      <c r="G618" s="16"/>
      <c r="H618" s="16"/>
      <c r="I618" s="16"/>
      <c r="J618" s="16"/>
      <c r="K618" s="16"/>
      <c r="L618" s="16"/>
      <c r="M618" s="15"/>
      <c r="N618" s="16"/>
      <c r="O618" s="16"/>
      <c r="P618" s="16"/>
      <c r="Q618" s="16"/>
      <c r="R618" s="16"/>
      <c r="S618" s="16"/>
      <c r="T618" s="16"/>
      <c r="U618" s="16"/>
      <c r="V618" s="16"/>
    </row>
    <row r="619" spans="1:22" ht="13.2">
      <c r="A619" s="12"/>
      <c r="B619" s="46"/>
      <c r="C619" s="12"/>
      <c r="D619" s="15"/>
      <c r="E619" s="15"/>
      <c r="F619" s="15"/>
      <c r="G619" s="16"/>
      <c r="H619" s="16"/>
      <c r="I619" s="16"/>
      <c r="J619" s="16"/>
      <c r="K619" s="16"/>
      <c r="L619" s="16"/>
      <c r="M619" s="15"/>
      <c r="N619" s="16"/>
      <c r="O619" s="16"/>
      <c r="P619" s="16"/>
      <c r="Q619" s="16"/>
      <c r="R619" s="16"/>
      <c r="S619" s="16"/>
      <c r="T619" s="16"/>
      <c r="U619" s="16"/>
      <c r="V619" s="16"/>
    </row>
    <row r="620" spans="1:22" ht="13.2">
      <c r="A620" s="12"/>
      <c r="B620" s="46"/>
      <c r="C620" s="12"/>
      <c r="D620" s="15"/>
      <c r="E620" s="15"/>
      <c r="F620" s="15"/>
      <c r="G620" s="16"/>
      <c r="H620" s="16"/>
      <c r="I620" s="16"/>
      <c r="J620" s="16"/>
      <c r="K620" s="16"/>
      <c r="L620" s="16"/>
      <c r="M620" s="15"/>
      <c r="N620" s="16"/>
      <c r="O620" s="16"/>
      <c r="P620" s="16"/>
      <c r="Q620" s="16"/>
      <c r="R620" s="16"/>
      <c r="S620" s="16"/>
      <c r="T620" s="16"/>
      <c r="U620" s="16"/>
      <c r="V620" s="16"/>
    </row>
    <row r="621" spans="1:22" ht="13.2">
      <c r="A621" s="12"/>
      <c r="B621" s="46"/>
      <c r="C621" s="12"/>
      <c r="D621" s="15"/>
      <c r="E621" s="15"/>
      <c r="F621" s="15"/>
      <c r="G621" s="16"/>
      <c r="H621" s="16"/>
      <c r="I621" s="16"/>
      <c r="J621" s="16"/>
      <c r="K621" s="16"/>
      <c r="L621" s="16"/>
      <c r="M621" s="15"/>
      <c r="N621" s="16"/>
      <c r="O621" s="16"/>
      <c r="P621" s="16"/>
      <c r="Q621" s="16"/>
      <c r="R621" s="16"/>
      <c r="S621" s="16"/>
      <c r="T621" s="16"/>
      <c r="U621" s="16"/>
      <c r="V621" s="16"/>
    </row>
    <row r="622" spans="1:22" ht="13.2">
      <c r="A622" s="12"/>
      <c r="B622" s="46"/>
      <c r="C622" s="12"/>
      <c r="D622" s="15"/>
      <c r="E622" s="15"/>
      <c r="F622" s="15"/>
      <c r="G622" s="16"/>
      <c r="H622" s="16"/>
      <c r="I622" s="16"/>
      <c r="J622" s="16"/>
      <c r="K622" s="16"/>
      <c r="L622" s="16"/>
      <c r="M622" s="15"/>
      <c r="N622" s="16"/>
      <c r="O622" s="16"/>
      <c r="P622" s="16"/>
      <c r="Q622" s="16"/>
      <c r="R622" s="16"/>
      <c r="S622" s="16"/>
      <c r="T622" s="16"/>
      <c r="U622" s="16"/>
      <c r="V622" s="16"/>
    </row>
    <row r="623" spans="1:22" ht="13.2">
      <c r="A623" s="12"/>
      <c r="B623" s="46"/>
      <c r="C623" s="12"/>
      <c r="D623" s="15"/>
      <c r="E623" s="15"/>
      <c r="F623" s="15"/>
      <c r="G623" s="16"/>
      <c r="H623" s="16"/>
      <c r="I623" s="16"/>
      <c r="J623" s="16"/>
      <c r="K623" s="16"/>
      <c r="L623" s="16"/>
      <c r="M623" s="15"/>
      <c r="N623" s="16"/>
      <c r="O623" s="16"/>
      <c r="P623" s="16"/>
      <c r="Q623" s="16"/>
      <c r="R623" s="16"/>
      <c r="S623" s="16"/>
      <c r="T623" s="16"/>
      <c r="U623" s="16"/>
      <c r="V623" s="16"/>
    </row>
    <row r="624" spans="1:22" ht="13.2">
      <c r="A624" s="12"/>
      <c r="B624" s="46"/>
      <c r="C624" s="12"/>
      <c r="D624" s="15"/>
      <c r="E624" s="15"/>
      <c r="F624" s="15"/>
      <c r="G624" s="16"/>
      <c r="H624" s="16"/>
      <c r="I624" s="16"/>
      <c r="J624" s="16"/>
      <c r="K624" s="16"/>
      <c r="L624" s="16"/>
      <c r="M624" s="15"/>
      <c r="N624" s="16"/>
      <c r="O624" s="16"/>
      <c r="P624" s="16"/>
      <c r="Q624" s="16"/>
      <c r="R624" s="16"/>
      <c r="S624" s="16"/>
      <c r="T624" s="16"/>
      <c r="U624" s="16"/>
      <c r="V624" s="16"/>
    </row>
    <row r="625" spans="1:22" ht="13.2">
      <c r="A625" s="12"/>
      <c r="B625" s="46"/>
      <c r="C625" s="12"/>
      <c r="D625" s="15"/>
      <c r="E625" s="15"/>
      <c r="F625" s="15"/>
      <c r="G625" s="16"/>
      <c r="H625" s="16"/>
      <c r="I625" s="16"/>
      <c r="J625" s="16"/>
      <c r="K625" s="16"/>
      <c r="L625" s="16"/>
      <c r="M625" s="15"/>
      <c r="N625" s="16"/>
      <c r="O625" s="16"/>
      <c r="P625" s="16"/>
      <c r="Q625" s="16"/>
      <c r="R625" s="16"/>
      <c r="S625" s="16"/>
      <c r="T625" s="16"/>
      <c r="U625" s="16"/>
      <c r="V625" s="16"/>
    </row>
    <row r="626" spans="1:22" ht="13.2">
      <c r="A626" s="12"/>
      <c r="B626" s="46"/>
      <c r="C626" s="12"/>
      <c r="D626" s="15"/>
      <c r="E626" s="15"/>
      <c r="F626" s="15"/>
      <c r="G626" s="16"/>
      <c r="H626" s="16"/>
      <c r="I626" s="16"/>
      <c r="J626" s="16"/>
      <c r="K626" s="16"/>
      <c r="L626" s="16"/>
      <c r="M626" s="15"/>
      <c r="N626" s="16"/>
      <c r="O626" s="16"/>
      <c r="P626" s="16"/>
      <c r="Q626" s="16"/>
      <c r="R626" s="16"/>
      <c r="S626" s="16"/>
      <c r="T626" s="16"/>
      <c r="U626" s="16"/>
      <c r="V626" s="16"/>
    </row>
    <row r="627" spans="1:22" ht="13.2">
      <c r="A627" s="12"/>
      <c r="B627" s="46"/>
      <c r="C627" s="12"/>
      <c r="D627" s="15"/>
      <c r="E627" s="15"/>
      <c r="F627" s="15"/>
      <c r="G627" s="16"/>
      <c r="H627" s="16"/>
      <c r="I627" s="16"/>
      <c r="J627" s="16"/>
      <c r="K627" s="16"/>
      <c r="L627" s="16"/>
      <c r="M627" s="15"/>
      <c r="N627" s="16"/>
      <c r="O627" s="16"/>
      <c r="P627" s="16"/>
      <c r="Q627" s="16"/>
      <c r="R627" s="16"/>
      <c r="S627" s="16"/>
      <c r="T627" s="16"/>
      <c r="U627" s="16"/>
      <c r="V627" s="16"/>
    </row>
    <row r="628" spans="1:22" ht="13.2">
      <c r="A628" s="12"/>
      <c r="B628" s="46"/>
      <c r="C628" s="12"/>
      <c r="D628" s="15"/>
      <c r="E628" s="15"/>
      <c r="F628" s="15"/>
      <c r="G628" s="16"/>
      <c r="H628" s="16"/>
      <c r="I628" s="16"/>
      <c r="J628" s="16"/>
      <c r="K628" s="16"/>
      <c r="L628" s="16"/>
      <c r="M628" s="15"/>
      <c r="N628" s="16"/>
      <c r="O628" s="16"/>
      <c r="P628" s="16"/>
      <c r="Q628" s="16"/>
      <c r="R628" s="16"/>
      <c r="S628" s="16"/>
      <c r="T628" s="16"/>
      <c r="U628" s="16"/>
      <c r="V628" s="16"/>
    </row>
    <row r="629" spans="1:22" ht="13.2">
      <c r="A629" s="12"/>
      <c r="B629" s="46"/>
      <c r="C629" s="12"/>
      <c r="D629" s="15"/>
      <c r="E629" s="15"/>
      <c r="F629" s="15"/>
      <c r="G629" s="16"/>
      <c r="H629" s="16"/>
      <c r="I629" s="16"/>
      <c r="J629" s="16"/>
      <c r="K629" s="16"/>
      <c r="L629" s="16"/>
      <c r="M629" s="15"/>
      <c r="N629" s="16"/>
      <c r="O629" s="16"/>
      <c r="P629" s="16"/>
      <c r="Q629" s="16"/>
      <c r="R629" s="16"/>
      <c r="S629" s="16"/>
      <c r="T629" s="16"/>
      <c r="U629" s="16"/>
      <c r="V629" s="16"/>
    </row>
    <row r="630" spans="1:22" ht="13.2">
      <c r="A630" s="12"/>
      <c r="B630" s="46"/>
      <c r="C630" s="12"/>
      <c r="D630" s="15"/>
      <c r="E630" s="15"/>
      <c r="F630" s="15"/>
      <c r="G630" s="16"/>
      <c r="H630" s="16"/>
      <c r="I630" s="16"/>
      <c r="J630" s="16"/>
      <c r="K630" s="16"/>
      <c r="L630" s="16"/>
      <c r="M630" s="15"/>
      <c r="N630" s="16"/>
      <c r="O630" s="16"/>
      <c r="P630" s="16"/>
      <c r="Q630" s="16"/>
      <c r="R630" s="16"/>
      <c r="S630" s="16"/>
      <c r="T630" s="16"/>
      <c r="U630" s="16"/>
      <c r="V630" s="16"/>
    </row>
    <row r="631" spans="1:22" ht="13.2">
      <c r="A631" s="12"/>
      <c r="B631" s="46"/>
      <c r="C631" s="12"/>
      <c r="D631" s="15"/>
      <c r="E631" s="15"/>
      <c r="F631" s="15"/>
      <c r="G631" s="16"/>
      <c r="H631" s="16"/>
      <c r="I631" s="16"/>
      <c r="J631" s="16"/>
      <c r="K631" s="16"/>
      <c r="L631" s="16"/>
      <c r="M631" s="15"/>
      <c r="N631" s="16"/>
      <c r="O631" s="16"/>
      <c r="P631" s="16"/>
      <c r="Q631" s="16"/>
      <c r="R631" s="16"/>
      <c r="S631" s="16"/>
      <c r="T631" s="16"/>
      <c r="U631" s="16"/>
      <c r="V631" s="16"/>
    </row>
    <row r="632" spans="1:22" ht="13.2">
      <c r="A632" s="12"/>
      <c r="B632" s="46"/>
      <c r="C632" s="12"/>
      <c r="D632" s="15"/>
      <c r="E632" s="15"/>
      <c r="F632" s="15"/>
      <c r="G632" s="16"/>
      <c r="H632" s="16"/>
      <c r="I632" s="16"/>
      <c r="J632" s="16"/>
      <c r="K632" s="16"/>
      <c r="L632" s="16"/>
      <c r="M632" s="15"/>
      <c r="N632" s="16"/>
      <c r="O632" s="16"/>
      <c r="P632" s="16"/>
      <c r="Q632" s="16"/>
      <c r="R632" s="16"/>
      <c r="S632" s="16"/>
      <c r="T632" s="16"/>
      <c r="U632" s="16"/>
      <c r="V632" s="16"/>
    </row>
    <row r="633" spans="1:22" ht="13.2">
      <c r="A633" s="12"/>
      <c r="B633" s="46"/>
      <c r="C633" s="12"/>
      <c r="D633" s="15"/>
      <c r="E633" s="15"/>
      <c r="F633" s="15"/>
      <c r="G633" s="16"/>
      <c r="H633" s="16"/>
      <c r="I633" s="16"/>
      <c r="J633" s="16"/>
      <c r="K633" s="16"/>
      <c r="L633" s="16"/>
      <c r="M633" s="15"/>
      <c r="N633" s="16"/>
      <c r="O633" s="16"/>
      <c r="P633" s="16"/>
      <c r="Q633" s="16"/>
      <c r="R633" s="16"/>
      <c r="S633" s="16"/>
      <c r="T633" s="16"/>
      <c r="U633" s="16"/>
      <c r="V633" s="16"/>
    </row>
    <row r="634" spans="1:22" ht="13.2">
      <c r="A634" s="12"/>
      <c r="B634" s="46"/>
      <c r="C634" s="12"/>
      <c r="D634" s="15"/>
      <c r="E634" s="15"/>
      <c r="F634" s="15"/>
      <c r="G634" s="16"/>
      <c r="H634" s="16"/>
      <c r="I634" s="16"/>
      <c r="J634" s="16"/>
      <c r="K634" s="16"/>
      <c r="L634" s="16"/>
      <c r="M634" s="15"/>
      <c r="N634" s="16"/>
      <c r="O634" s="16"/>
      <c r="P634" s="16"/>
      <c r="Q634" s="16"/>
      <c r="R634" s="16"/>
      <c r="S634" s="16"/>
      <c r="T634" s="16"/>
      <c r="U634" s="16"/>
      <c r="V634" s="16"/>
    </row>
    <row r="635" spans="1:22" ht="13.2">
      <c r="A635" s="12"/>
      <c r="B635" s="46"/>
      <c r="C635" s="12"/>
      <c r="D635" s="15"/>
      <c r="E635" s="15"/>
      <c r="F635" s="15"/>
      <c r="G635" s="16"/>
      <c r="H635" s="16"/>
      <c r="I635" s="16"/>
      <c r="J635" s="16"/>
      <c r="K635" s="16"/>
      <c r="L635" s="16"/>
      <c r="M635" s="15"/>
      <c r="N635" s="16"/>
      <c r="O635" s="16"/>
      <c r="P635" s="16"/>
      <c r="Q635" s="16"/>
      <c r="R635" s="16"/>
      <c r="S635" s="16"/>
      <c r="T635" s="16"/>
      <c r="U635" s="16"/>
      <c r="V635" s="16"/>
    </row>
    <row r="636" spans="1:22" ht="13.2">
      <c r="A636" s="12"/>
      <c r="B636" s="46"/>
      <c r="C636" s="12"/>
      <c r="D636" s="15"/>
      <c r="E636" s="15"/>
      <c r="F636" s="15"/>
      <c r="G636" s="16"/>
      <c r="H636" s="16"/>
      <c r="I636" s="16"/>
      <c r="J636" s="16"/>
      <c r="K636" s="16"/>
      <c r="L636" s="16"/>
      <c r="M636" s="15"/>
      <c r="N636" s="16"/>
      <c r="O636" s="16"/>
      <c r="P636" s="16"/>
      <c r="Q636" s="16"/>
      <c r="R636" s="16"/>
      <c r="S636" s="16"/>
      <c r="T636" s="16"/>
      <c r="U636" s="16"/>
      <c r="V636" s="16"/>
    </row>
    <row r="637" spans="1:22" ht="13.2">
      <c r="A637" s="12"/>
      <c r="B637" s="46"/>
      <c r="C637" s="12"/>
      <c r="D637" s="15"/>
      <c r="E637" s="15"/>
      <c r="F637" s="15"/>
      <c r="G637" s="16"/>
      <c r="H637" s="16"/>
      <c r="I637" s="16"/>
      <c r="J637" s="16"/>
      <c r="K637" s="16"/>
      <c r="L637" s="16"/>
      <c r="M637" s="15"/>
      <c r="N637" s="16"/>
      <c r="O637" s="16"/>
      <c r="P637" s="16"/>
      <c r="Q637" s="16"/>
      <c r="R637" s="16"/>
      <c r="S637" s="16"/>
      <c r="T637" s="16"/>
      <c r="U637" s="16"/>
      <c r="V637" s="16"/>
    </row>
    <row r="638" spans="1:22" ht="13.2">
      <c r="A638" s="12"/>
      <c r="B638" s="46"/>
      <c r="C638" s="12"/>
      <c r="D638" s="15"/>
      <c r="E638" s="15"/>
      <c r="F638" s="15"/>
      <c r="G638" s="16"/>
      <c r="H638" s="16"/>
      <c r="I638" s="16"/>
      <c r="J638" s="16"/>
      <c r="K638" s="16"/>
      <c r="L638" s="16"/>
      <c r="M638" s="15"/>
      <c r="N638" s="16"/>
      <c r="O638" s="16"/>
      <c r="P638" s="16"/>
      <c r="Q638" s="16"/>
      <c r="R638" s="16"/>
      <c r="S638" s="16"/>
      <c r="T638" s="16"/>
      <c r="U638" s="16"/>
      <c r="V638" s="16"/>
    </row>
    <row r="639" spans="1:22" ht="13.2">
      <c r="A639" s="12"/>
      <c r="B639" s="46"/>
      <c r="C639" s="12"/>
      <c r="D639" s="15"/>
      <c r="E639" s="15"/>
      <c r="F639" s="15"/>
      <c r="G639" s="16"/>
      <c r="H639" s="16"/>
      <c r="I639" s="16"/>
      <c r="J639" s="16"/>
      <c r="K639" s="16"/>
      <c r="L639" s="16"/>
      <c r="M639" s="15"/>
      <c r="N639" s="16"/>
      <c r="O639" s="16"/>
      <c r="P639" s="16"/>
      <c r="Q639" s="16"/>
      <c r="R639" s="16"/>
      <c r="S639" s="16"/>
      <c r="T639" s="16"/>
      <c r="U639" s="16"/>
      <c r="V639" s="16"/>
    </row>
    <row r="640" spans="1:22" ht="13.2">
      <c r="A640" s="12"/>
      <c r="B640" s="46"/>
      <c r="C640" s="12"/>
      <c r="D640" s="15"/>
      <c r="E640" s="15"/>
      <c r="F640" s="15"/>
      <c r="G640" s="16"/>
      <c r="H640" s="16"/>
      <c r="I640" s="16"/>
      <c r="J640" s="16"/>
      <c r="K640" s="16"/>
      <c r="L640" s="16"/>
      <c r="M640" s="15"/>
      <c r="N640" s="16"/>
      <c r="O640" s="16"/>
      <c r="P640" s="16"/>
      <c r="Q640" s="16"/>
      <c r="R640" s="16"/>
      <c r="S640" s="16"/>
      <c r="T640" s="16"/>
      <c r="U640" s="16"/>
      <c r="V640" s="16"/>
    </row>
    <row r="641" spans="1:22" ht="13.2">
      <c r="A641" s="12"/>
      <c r="B641" s="46"/>
      <c r="C641" s="12"/>
      <c r="D641" s="15"/>
      <c r="E641" s="15"/>
      <c r="F641" s="15"/>
      <c r="G641" s="16"/>
      <c r="H641" s="16"/>
      <c r="I641" s="16"/>
      <c r="J641" s="16"/>
      <c r="K641" s="16"/>
      <c r="L641" s="16"/>
      <c r="M641" s="15"/>
      <c r="N641" s="16"/>
      <c r="O641" s="16"/>
      <c r="P641" s="16"/>
      <c r="Q641" s="16"/>
      <c r="R641" s="16"/>
      <c r="S641" s="16"/>
      <c r="T641" s="16"/>
      <c r="U641" s="16"/>
      <c r="V641" s="16"/>
    </row>
    <row r="642" spans="1:22" ht="13.2">
      <c r="A642" s="12"/>
      <c r="B642" s="46"/>
      <c r="C642" s="12"/>
      <c r="D642" s="15"/>
      <c r="E642" s="15"/>
      <c r="F642" s="15"/>
      <c r="G642" s="16"/>
      <c r="H642" s="16"/>
      <c r="I642" s="16"/>
      <c r="J642" s="16"/>
      <c r="K642" s="16"/>
      <c r="L642" s="16"/>
      <c r="M642" s="15"/>
      <c r="N642" s="16"/>
      <c r="O642" s="16"/>
      <c r="P642" s="16"/>
      <c r="Q642" s="16"/>
      <c r="R642" s="16"/>
      <c r="S642" s="16"/>
      <c r="T642" s="16"/>
      <c r="U642" s="16"/>
      <c r="V642" s="16"/>
    </row>
    <row r="643" spans="1:22" ht="13.2">
      <c r="A643" s="12"/>
      <c r="B643" s="46"/>
      <c r="C643" s="12"/>
      <c r="D643" s="15"/>
      <c r="E643" s="15"/>
      <c r="F643" s="15"/>
      <c r="G643" s="16"/>
      <c r="H643" s="16"/>
      <c r="I643" s="16"/>
      <c r="J643" s="16"/>
      <c r="K643" s="16"/>
      <c r="L643" s="16"/>
      <c r="M643" s="15"/>
      <c r="N643" s="16"/>
      <c r="O643" s="16"/>
      <c r="P643" s="16"/>
      <c r="Q643" s="16"/>
      <c r="R643" s="16"/>
      <c r="S643" s="16"/>
      <c r="T643" s="16"/>
      <c r="U643" s="16"/>
      <c r="V643" s="16"/>
    </row>
    <row r="644" spans="1:22" ht="13.2">
      <c r="A644" s="12"/>
      <c r="B644" s="46"/>
      <c r="C644" s="12"/>
      <c r="D644" s="15"/>
      <c r="E644" s="15"/>
      <c r="F644" s="15"/>
      <c r="G644" s="16"/>
      <c r="H644" s="16"/>
      <c r="I644" s="16"/>
      <c r="J644" s="16"/>
      <c r="K644" s="16"/>
      <c r="L644" s="16"/>
      <c r="M644" s="15"/>
      <c r="N644" s="16"/>
      <c r="O644" s="16"/>
      <c r="P644" s="16"/>
      <c r="Q644" s="16"/>
      <c r="R644" s="16"/>
      <c r="S644" s="16"/>
      <c r="T644" s="16"/>
      <c r="U644" s="16"/>
      <c r="V644" s="16"/>
    </row>
    <row r="645" spans="1:22" ht="13.2">
      <c r="A645" s="12"/>
      <c r="B645" s="46"/>
      <c r="C645" s="12"/>
      <c r="D645" s="15"/>
      <c r="E645" s="15"/>
      <c r="F645" s="15"/>
      <c r="G645" s="16"/>
      <c r="H645" s="16"/>
      <c r="I645" s="16"/>
      <c r="J645" s="16"/>
      <c r="K645" s="16"/>
      <c r="L645" s="16"/>
      <c r="M645" s="15"/>
      <c r="N645" s="16"/>
      <c r="O645" s="16"/>
      <c r="P645" s="16"/>
      <c r="Q645" s="16"/>
      <c r="R645" s="16"/>
      <c r="S645" s="16"/>
      <c r="T645" s="16"/>
      <c r="U645" s="16"/>
      <c r="V645" s="16"/>
    </row>
    <row r="646" spans="1:22" ht="13.2">
      <c r="A646" s="12"/>
      <c r="B646" s="46"/>
      <c r="C646" s="12"/>
      <c r="D646" s="15"/>
      <c r="E646" s="15"/>
      <c r="F646" s="15"/>
      <c r="G646" s="16"/>
      <c r="H646" s="16"/>
      <c r="I646" s="16"/>
      <c r="J646" s="16"/>
      <c r="K646" s="16"/>
      <c r="L646" s="16"/>
      <c r="M646" s="15"/>
      <c r="N646" s="16"/>
      <c r="O646" s="16"/>
      <c r="P646" s="16"/>
      <c r="Q646" s="16"/>
      <c r="R646" s="16"/>
      <c r="S646" s="16"/>
      <c r="T646" s="16"/>
      <c r="U646" s="16"/>
      <c r="V646" s="16"/>
    </row>
    <row r="647" spans="1:22" ht="13.2">
      <c r="A647" s="12"/>
      <c r="B647" s="46"/>
      <c r="C647" s="12"/>
      <c r="D647" s="15"/>
      <c r="E647" s="15"/>
      <c r="F647" s="15"/>
      <c r="G647" s="16"/>
      <c r="H647" s="16"/>
      <c r="I647" s="16"/>
      <c r="J647" s="16"/>
      <c r="K647" s="16"/>
      <c r="L647" s="16"/>
      <c r="M647" s="15"/>
      <c r="N647" s="16"/>
      <c r="O647" s="16"/>
      <c r="P647" s="16"/>
      <c r="Q647" s="16"/>
      <c r="R647" s="16"/>
      <c r="S647" s="16"/>
      <c r="T647" s="16"/>
      <c r="U647" s="16"/>
      <c r="V647" s="16"/>
    </row>
    <row r="648" spans="1:22" ht="13.2">
      <c r="A648" s="12"/>
      <c r="B648" s="46"/>
      <c r="C648" s="12"/>
      <c r="D648" s="15"/>
      <c r="E648" s="15"/>
      <c r="F648" s="15"/>
      <c r="G648" s="16"/>
      <c r="H648" s="16"/>
      <c r="I648" s="16"/>
      <c r="J648" s="16"/>
      <c r="K648" s="16"/>
      <c r="L648" s="16"/>
      <c r="M648" s="15"/>
      <c r="N648" s="16"/>
      <c r="O648" s="16"/>
      <c r="P648" s="16"/>
      <c r="Q648" s="16"/>
      <c r="R648" s="16"/>
      <c r="S648" s="16"/>
      <c r="T648" s="16"/>
      <c r="U648" s="16"/>
      <c r="V648" s="16"/>
    </row>
    <row r="649" spans="1:22" ht="13.2">
      <c r="A649" s="12"/>
      <c r="B649" s="46"/>
      <c r="C649" s="12"/>
      <c r="D649" s="15"/>
      <c r="E649" s="15"/>
      <c r="F649" s="15"/>
      <c r="G649" s="16"/>
      <c r="H649" s="16"/>
      <c r="I649" s="16"/>
      <c r="J649" s="16"/>
      <c r="K649" s="16"/>
      <c r="L649" s="16"/>
      <c r="M649" s="15"/>
      <c r="N649" s="16"/>
      <c r="O649" s="16"/>
      <c r="P649" s="16"/>
      <c r="Q649" s="16"/>
      <c r="R649" s="16"/>
      <c r="S649" s="16"/>
      <c r="T649" s="16"/>
      <c r="U649" s="16"/>
      <c r="V649" s="16"/>
    </row>
    <row r="650" spans="1:22" ht="13.2">
      <c r="A650" s="12"/>
      <c r="B650" s="46"/>
      <c r="C650" s="12"/>
      <c r="D650" s="15"/>
      <c r="E650" s="15"/>
      <c r="F650" s="15"/>
      <c r="G650" s="16"/>
      <c r="H650" s="16"/>
      <c r="I650" s="16"/>
      <c r="J650" s="16"/>
      <c r="K650" s="16"/>
      <c r="L650" s="16"/>
      <c r="M650" s="15"/>
      <c r="N650" s="16"/>
      <c r="O650" s="16"/>
      <c r="P650" s="16"/>
      <c r="Q650" s="16"/>
      <c r="R650" s="16"/>
      <c r="S650" s="16"/>
      <c r="T650" s="16"/>
      <c r="U650" s="16"/>
      <c r="V650" s="16"/>
    </row>
    <row r="651" spans="1:22" ht="13.2">
      <c r="A651" s="12"/>
      <c r="B651" s="46"/>
      <c r="C651" s="12"/>
      <c r="D651" s="15"/>
      <c r="E651" s="15"/>
      <c r="F651" s="15"/>
      <c r="G651" s="16"/>
      <c r="H651" s="16"/>
      <c r="I651" s="16"/>
      <c r="J651" s="16"/>
      <c r="K651" s="16"/>
      <c r="L651" s="16"/>
      <c r="M651" s="15"/>
      <c r="N651" s="16"/>
      <c r="O651" s="16"/>
      <c r="P651" s="16"/>
      <c r="Q651" s="16"/>
      <c r="R651" s="16"/>
      <c r="S651" s="16"/>
      <c r="T651" s="16"/>
      <c r="U651" s="16"/>
      <c r="V651" s="16"/>
    </row>
    <row r="652" spans="1:22" ht="13.2">
      <c r="A652" s="12"/>
      <c r="B652" s="46"/>
      <c r="C652" s="12"/>
      <c r="D652" s="15"/>
      <c r="E652" s="15"/>
      <c r="F652" s="15"/>
      <c r="G652" s="16"/>
      <c r="H652" s="16"/>
      <c r="I652" s="16"/>
      <c r="J652" s="16"/>
      <c r="K652" s="16"/>
      <c r="L652" s="16"/>
      <c r="M652" s="15"/>
      <c r="N652" s="16"/>
      <c r="O652" s="16"/>
      <c r="P652" s="16"/>
      <c r="Q652" s="16"/>
      <c r="R652" s="16"/>
      <c r="S652" s="16"/>
      <c r="T652" s="16"/>
      <c r="U652" s="16"/>
      <c r="V652" s="16"/>
    </row>
    <row r="653" spans="1:22" ht="13.2">
      <c r="A653" s="12"/>
      <c r="B653" s="46"/>
      <c r="C653" s="12"/>
      <c r="D653" s="15"/>
      <c r="E653" s="15"/>
      <c r="F653" s="15"/>
      <c r="G653" s="16"/>
      <c r="H653" s="16"/>
      <c r="I653" s="16"/>
      <c r="J653" s="16"/>
      <c r="K653" s="16"/>
      <c r="L653" s="16"/>
      <c r="M653" s="15"/>
      <c r="N653" s="16"/>
      <c r="O653" s="16"/>
      <c r="P653" s="16"/>
      <c r="Q653" s="16"/>
      <c r="R653" s="16"/>
      <c r="S653" s="16"/>
      <c r="T653" s="16"/>
      <c r="U653" s="16"/>
      <c r="V653" s="16"/>
    </row>
    <row r="654" spans="1:22" ht="13.2">
      <c r="A654" s="12"/>
      <c r="B654" s="46"/>
      <c r="C654" s="12"/>
      <c r="D654" s="15"/>
      <c r="E654" s="15"/>
      <c r="F654" s="15"/>
      <c r="G654" s="16"/>
      <c r="H654" s="16"/>
      <c r="I654" s="16"/>
      <c r="J654" s="16"/>
      <c r="K654" s="16"/>
      <c r="L654" s="16"/>
      <c r="M654" s="15"/>
      <c r="N654" s="16"/>
      <c r="O654" s="16"/>
      <c r="P654" s="16"/>
      <c r="Q654" s="16"/>
      <c r="R654" s="16"/>
      <c r="S654" s="16"/>
      <c r="T654" s="16"/>
      <c r="U654" s="16"/>
      <c r="V654" s="16"/>
    </row>
    <row r="655" spans="1:22" ht="13.2">
      <c r="A655" s="12"/>
      <c r="B655" s="46"/>
      <c r="C655" s="12"/>
      <c r="D655" s="15"/>
      <c r="E655" s="15"/>
      <c r="F655" s="15"/>
      <c r="G655" s="16"/>
      <c r="H655" s="16"/>
      <c r="I655" s="16"/>
      <c r="J655" s="16"/>
      <c r="K655" s="16"/>
      <c r="L655" s="16"/>
      <c r="M655" s="15"/>
      <c r="N655" s="16"/>
      <c r="O655" s="16"/>
      <c r="P655" s="16"/>
      <c r="Q655" s="16"/>
      <c r="R655" s="16"/>
      <c r="S655" s="16"/>
      <c r="T655" s="16"/>
      <c r="U655" s="16"/>
      <c r="V655" s="16"/>
    </row>
    <row r="656" spans="1:22" ht="13.2">
      <c r="A656" s="12"/>
      <c r="B656" s="46"/>
      <c r="C656" s="12"/>
      <c r="D656" s="15"/>
      <c r="E656" s="15"/>
      <c r="F656" s="15"/>
      <c r="G656" s="16"/>
      <c r="H656" s="16"/>
      <c r="I656" s="16"/>
      <c r="J656" s="16"/>
      <c r="K656" s="16"/>
      <c r="L656" s="16"/>
      <c r="M656" s="15"/>
      <c r="N656" s="16"/>
      <c r="O656" s="16"/>
      <c r="P656" s="16"/>
      <c r="Q656" s="16"/>
      <c r="R656" s="16"/>
      <c r="S656" s="16"/>
      <c r="T656" s="16"/>
      <c r="U656" s="16"/>
      <c r="V656" s="16"/>
    </row>
    <row r="657" spans="1:22" ht="13.2">
      <c r="A657" s="12"/>
      <c r="B657" s="46"/>
      <c r="C657" s="12"/>
      <c r="D657" s="15"/>
      <c r="E657" s="15"/>
      <c r="F657" s="15"/>
      <c r="G657" s="16"/>
      <c r="H657" s="16"/>
      <c r="I657" s="16"/>
      <c r="J657" s="16"/>
      <c r="K657" s="16"/>
      <c r="L657" s="16"/>
      <c r="M657" s="15"/>
      <c r="N657" s="16"/>
      <c r="O657" s="16"/>
      <c r="P657" s="16"/>
      <c r="Q657" s="16"/>
      <c r="R657" s="16"/>
      <c r="S657" s="16"/>
      <c r="T657" s="16"/>
      <c r="U657" s="16"/>
      <c r="V657" s="16"/>
    </row>
    <row r="658" spans="1:22" ht="13.2">
      <c r="A658" s="12"/>
      <c r="B658" s="46"/>
      <c r="C658" s="12"/>
      <c r="D658" s="15"/>
      <c r="E658" s="15"/>
      <c r="F658" s="15"/>
      <c r="G658" s="16"/>
      <c r="H658" s="16"/>
      <c r="I658" s="16"/>
      <c r="J658" s="16"/>
      <c r="K658" s="16"/>
      <c r="L658" s="16"/>
      <c r="M658" s="15"/>
      <c r="N658" s="16"/>
      <c r="O658" s="16"/>
      <c r="P658" s="16"/>
      <c r="Q658" s="16"/>
      <c r="R658" s="16"/>
      <c r="S658" s="16"/>
      <c r="T658" s="16"/>
      <c r="U658" s="16"/>
      <c r="V658" s="16"/>
    </row>
    <row r="659" spans="1:22" ht="13.2">
      <c r="A659" s="12"/>
      <c r="B659" s="46"/>
      <c r="C659" s="12"/>
      <c r="D659" s="15"/>
      <c r="E659" s="15"/>
      <c r="F659" s="15"/>
      <c r="G659" s="16"/>
      <c r="H659" s="16"/>
      <c r="I659" s="16"/>
      <c r="J659" s="16"/>
      <c r="K659" s="16"/>
      <c r="L659" s="16"/>
      <c r="M659" s="15"/>
      <c r="N659" s="16"/>
      <c r="O659" s="16"/>
      <c r="P659" s="16"/>
      <c r="Q659" s="16"/>
      <c r="R659" s="16"/>
      <c r="S659" s="16"/>
      <c r="T659" s="16"/>
      <c r="U659" s="16"/>
      <c r="V659" s="16"/>
    </row>
    <row r="660" spans="1:22" ht="13.2">
      <c r="A660" s="12"/>
      <c r="B660" s="46"/>
      <c r="C660" s="12"/>
      <c r="D660" s="15"/>
      <c r="E660" s="15"/>
      <c r="F660" s="15"/>
      <c r="G660" s="16"/>
      <c r="H660" s="16"/>
      <c r="I660" s="16"/>
      <c r="J660" s="16"/>
      <c r="K660" s="16"/>
      <c r="L660" s="16"/>
      <c r="M660" s="15"/>
      <c r="N660" s="16"/>
      <c r="O660" s="16"/>
      <c r="P660" s="16"/>
      <c r="Q660" s="16"/>
      <c r="R660" s="16"/>
      <c r="S660" s="16"/>
      <c r="T660" s="16"/>
      <c r="U660" s="16"/>
      <c r="V660" s="16"/>
    </row>
    <row r="661" spans="1:22" ht="13.2">
      <c r="A661" s="12"/>
      <c r="B661" s="46"/>
      <c r="C661" s="12"/>
      <c r="D661" s="15"/>
      <c r="E661" s="15"/>
      <c r="F661" s="15"/>
      <c r="G661" s="16"/>
      <c r="H661" s="16"/>
      <c r="I661" s="16"/>
      <c r="J661" s="16"/>
      <c r="K661" s="16"/>
      <c r="L661" s="16"/>
      <c r="M661" s="15"/>
      <c r="N661" s="16"/>
      <c r="O661" s="16"/>
      <c r="P661" s="16"/>
      <c r="Q661" s="16"/>
      <c r="R661" s="16"/>
      <c r="S661" s="16"/>
      <c r="T661" s="16"/>
      <c r="U661" s="16"/>
      <c r="V661" s="16"/>
    </row>
    <row r="662" spans="1:22" ht="13.2">
      <c r="A662" s="12"/>
      <c r="B662" s="46"/>
      <c r="C662" s="12"/>
      <c r="D662" s="15"/>
      <c r="E662" s="15"/>
      <c r="F662" s="15"/>
      <c r="G662" s="16"/>
      <c r="H662" s="16"/>
      <c r="I662" s="16"/>
      <c r="J662" s="16"/>
      <c r="K662" s="16"/>
      <c r="L662" s="16"/>
      <c r="M662" s="15"/>
      <c r="N662" s="16"/>
      <c r="O662" s="16"/>
      <c r="P662" s="16"/>
      <c r="Q662" s="16"/>
      <c r="R662" s="16"/>
      <c r="S662" s="16"/>
      <c r="T662" s="16"/>
      <c r="U662" s="16"/>
      <c r="V662" s="16"/>
    </row>
    <row r="663" spans="1:22" ht="13.2">
      <c r="A663" s="12"/>
      <c r="B663" s="46"/>
      <c r="C663" s="12"/>
      <c r="D663" s="15"/>
      <c r="E663" s="15"/>
      <c r="F663" s="15"/>
      <c r="G663" s="16"/>
      <c r="H663" s="16"/>
      <c r="I663" s="16"/>
      <c r="J663" s="16"/>
      <c r="K663" s="16"/>
      <c r="L663" s="16"/>
      <c r="M663" s="15"/>
      <c r="N663" s="16"/>
      <c r="O663" s="16"/>
      <c r="P663" s="16"/>
      <c r="Q663" s="16"/>
      <c r="R663" s="16"/>
      <c r="S663" s="16"/>
      <c r="T663" s="16"/>
      <c r="U663" s="16"/>
      <c r="V663" s="16"/>
    </row>
    <row r="664" spans="1:22" ht="13.2">
      <c r="A664" s="12"/>
      <c r="B664" s="46"/>
      <c r="C664" s="12"/>
      <c r="D664" s="15"/>
      <c r="E664" s="15"/>
      <c r="F664" s="15"/>
      <c r="G664" s="16"/>
      <c r="H664" s="16"/>
      <c r="I664" s="16"/>
      <c r="J664" s="16"/>
      <c r="K664" s="16"/>
      <c r="L664" s="16"/>
      <c r="M664" s="15"/>
      <c r="N664" s="16"/>
      <c r="O664" s="16"/>
      <c r="P664" s="16"/>
      <c r="Q664" s="16"/>
      <c r="R664" s="16"/>
      <c r="S664" s="16"/>
      <c r="T664" s="16"/>
      <c r="U664" s="16"/>
      <c r="V664" s="16"/>
    </row>
    <row r="665" spans="1:22" ht="13.2">
      <c r="A665" s="12"/>
      <c r="B665" s="46"/>
      <c r="C665" s="12"/>
      <c r="D665" s="15"/>
      <c r="E665" s="15"/>
      <c r="F665" s="15"/>
      <c r="G665" s="16"/>
      <c r="H665" s="16"/>
      <c r="I665" s="16"/>
      <c r="J665" s="16"/>
      <c r="K665" s="16"/>
      <c r="L665" s="16"/>
      <c r="M665" s="15"/>
      <c r="N665" s="16"/>
      <c r="O665" s="16"/>
      <c r="P665" s="16"/>
      <c r="Q665" s="16"/>
      <c r="R665" s="16"/>
      <c r="S665" s="16"/>
      <c r="T665" s="16"/>
      <c r="U665" s="16"/>
      <c r="V665" s="16"/>
    </row>
    <row r="666" spans="1:22" ht="13.2">
      <c r="A666" s="12"/>
      <c r="B666" s="46"/>
      <c r="C666" s="12"/>
      <c r="D666" s="15"/>
      <c r="E666" s="15"/>
      <c r="F666" s="15"/>
      <c r="G666" s="16"/>
      <c r="H666" s="16"/>
      <c r="I666" s="16"/>
      <c r="J666" s="16"/>
      <c r="K666" s="16"/>
      <c r="L666" s="16"/>
      <c r="M666" s="15"/>
      <c r="N666" s="16"/>
      <c r="O666" s="16"/>
      <c r="P666" s="16"/>
      <c r="Q666" s="16"/>
      <c r="R666" s="16"/>
      <c r="S666" s="16"/>
      <c r="T666" s="16"/>
      <c r="U666" s="16"/>
      <c r="V666" s="16"/>
    </row>
    <row r="667" spans="1:22" ht="13.2">
      <c r="A667" s="12"/>
      <c r="B667" s="46"/>
      <c r="C667" s="12"/>
      <c r="D667" s="15"/>
      <c r="E667" s="15"/>
      <c r="F667" s="15"/>
      <c r="G667" s="16"/>
      <c r="H667" s="16"/>
      <c r="I667" s="16"/>
      <c r="J667" s="16"/>
      <c r="K667" s="16"/>
      <c r="L667" s="16"/>
      <c r="M667" s="15"/>
      <c r="N667" s="16"/>
      <c r="O667" s="16"/>
      <c r="P667" s="16"/>
      <c r="Q667" s="16"/>
      <c r="R667" s="16"/>
      <c r="S667" s="16"/>
      <c r="T667" s="16"/>
      <c r="U667" s="16"/>
      <c r="V667" s="16"/>
    </row>
    <row r="668" spans="1:22" ht="13.2">
      <c r="A668" s="12"/>
      <c r="B668" s="46"/>
      <c r="C668" s="12"/>
      <c r="D668" s="15"/>
      <c r="E668" s="15"/>
      <c r="F668" s="15"/>
      <c r="G668" s="16"/>
      <c r="H668" s="16"/>
      <c r="I668" s="16"/>
      <c r="J668" s="16"/>
      <c r="K668" s="16"/>
      <c r="L668" s="16"/>
      <c r="M668" s="15"/>
      <c r="N668" s="16"/>
      <c r="O668" s="16"/>
      <c r="P668" s="16"/>
      <c r="Q668" s="16"/>
      <c r="R668" s="16"/>
      <c r="S668" s="16"/>
      <c r="T668" s="16"/>
      <c r="U668" s="16"/>
      <c r="V668" s="16"/>
    </row>
    <row r="669" spans="1:22" ht="13.2">
      <c r="A669" s="12"/>
      <c r="B669" s="46"/>
      <c r="C669" s="12"/>
      <c r="D669" s="15"/>
      <c r="E669" s="15"/>
      <c r="F669" s="15"/>
      <c r="G669" s="16"/>
      <c r="H669" s="16"/>
      <c r="I669" s="16"/>
      <c r="J669" s="16"/>
      <c r="K669" s="16"/>
      <c r="L669" s="16"/>
      <c r="M669" s="15"/>
      <c r="N669" s="16"/>
      <c r="O669" s="16"/>
      <c r="P669" s="16"/>
      <c r="Q669" s="16"/>
      <c r="R669" s="16"/>
      <c r="S669" s="16"/>
      <c r="T669" s="16"/>
      <c r="U669" s="16"/>
      <c r="V669" s="16"/>
    </row>
    <row r="670" spans="1:22" ht="13.2">
      <c r="A670" s="12"/>
      <c r="B670" s="46"/>
      <c r="C670" s="12"/>
      <c r="D670" s="15"/>
      <c r="E670" s="15"/>
      <c r="F670" s="15"/>
      <c r="G670" s="16"/>
      <c r="H670" s="16"/>
      <c r="I670" s="16"/>
      <c r="J670" s="16"/>
      <c r="K670" s="16"/>
      <c r="L670" s="16"/>
      <c r="M670" s="15"/>
      <c r="N670" s="16"/>
      <c r="O670" s="16"/>
      <c r="P670" s="16"/>
      <c r="Q670" s="16"/>
      <c r="R670" s="16"/>
      <c r="S670" s="16"/>
      <c r="T670" s="16"/>
      <c r="U670" s="16"/>
      <c r="V670" s="16"/>
    </row>
    <row r="671" spans="1:22" ht="13.2">
      <c r="A671" s="12"/>
      <c r="B671" s="46"/>
      <c r="C671" s="12"/>
      <c r="D671" s="15"/>
      <c r="E671" s="15"/>
      <c r="F671" s="15"/>
      <c r="G671" s="16"/>
      <c r="H671" s="16"/>
      <c r="I671" s="16"/>
      <c r="J671" s="16"/>
      <c r="K671" s="16"/>
      <c r="L671" s="16"/>
      <c r="M671" s="15"/>
      <c r="N671" s="16"/>
      <c r="O671" s="16"/>
      <c r="P671" s="16"/>
      <c r="Q671" s="16"/>
      <c r="R671" s="16"/>
      <c r="S671" s="16"/>
      <c r="T671" s="16"/>
      <c r="U671" s="16"/>
      <c r="V671" s="16"/>
    </row>
    <row r="672" spans="1:22" ht="13.2">
      <c r="A672" s="12"/>
      <c r="B672" s="46"/>
      <c r="C672" s="12"/>
      <c r="D672" s="15"/>
      <c r="E672" s="15"/>
      <c r="F672" s="15"/>
      <c r="G672" s="16"/>
      <c r="H672" s="16"/>
      <c r="I672" s="16"/>
      <c r="J672" s="16"/>
      <c r="K672" s="16"/>
      <c r="L672" s="16"/>
      <c r="M672" s="15"/>
      <c r="N672" s="16"/>
      <c r="O672" s="16"/>
      <c r="P672" s="16"/>
      <c r="Q672" s="16"/>
      <c r="R672" s="16"/>
      <c r="S672" s="16"/>
      <c r="T672" s="16"/>
      <c r="U672" s="16"/>
      <c r="V672" s="16"/>
    </row>
    <row r="673" spans="1:22" ht="13.2">
      <c r="A673" s="12"/>
      <c r="B673" s="46"/>
      <c r="C673" s="12"/>
      <c r="D673" s="15"/>
      <c r="E673" s="15"/>
      <c r="F673" s="15"/>
      <c r="G673" s="16"/>
      <c r="H673" s="16"/>
      <c r="I673" s="16"/>
      <c r="J673" s="16"/>
      <c r="K673" s="16"/>
      <c r="L673" s="16"/>
      <c r="M673" s="15"/>
      <c r="N673" s="16"/>
      <c r="O673" s="16"/>
      <c r="P673" s="16"/>
      <c r="Q673" s="16"/>
      <c r="R673" s="16"/>
      <c r="S673" s="16"/>
      <c r="T673" s="16"/>
      <c r="U673" s="16"/>
      <c r="V673" s="16"/>
    </row>
    <row r="674" spans="1:22" ht="13.2">
      <c r="A674" s="12"/>
      <c r="B674" s="46"/>
      <c r="C674" s="12"/>
      <c r="D674" s="15"/>
      <c r="E674" s="15"/>
      <c r="F674" s="15"/>
      <c r="G674" s="16"/>
      <c r="H674" s="16"/>
      <c r="I674" s="16"/>
      <c r="J674" s="16"/>
      <c r="K674" s="16"/>
      <c r="L674" s="16"/>
      <c r="M674" s="15"/>
      <c r="N674" s="16"/>
      <c r="O674" s="16"/>
      <c r="P674" s="16"/>
      <c r="Q674" s="16"/>
      <c r="R674" s="16"/>
      <c r="S674" s="16"/>
      <c r="T674" s="16"/>
      <c r="U674" s="16"/>
      <c r="V674" s="16"/>
    </row>
    <row r="675" spans="1:22" ht="13.2">
      <c r="A675" s="12"/>
      <c r="B675" s="46"/>
      <c r="C675" s="12"/>
      <c r="D675" s="15"/>
      <c r="E675" s="15"/>
      <c r="F675" s="15"/>
      <c r="G675" s="16"/>
      <c r="H675" s="16"/>
      <c r="I675" s="16"/>
      <c r="J675" s="16"/>
      <c r="K675" s="16"/>
      <c r="L675" s="16"/>
      <c r="M675" s="15"/>
      <c r="N675" s="16"/>
      <c r="O675" s="16"/>
      <c r="P675" s="16"/>
      <c r="Q675" s="16"/>
      <c r="R675" s="16"/>
      <c r="S675" s="16"/>
      <c r="T675" s="16"/>
      <c r="U675" s="16"/>
      <c r="V675" s="16"/>
    </row>
    <row r="676" spans="1:22" ht="13.2">
      <c r="A676" s="12"/>
      <c r="B676" s="46"/>
      <c r="C676" s="12"/>
      <c r="D676" s="15"/>
      <c r="E676" s="15"/>
      <c r="F676" s="15"/>
      <c r="G676" s="16"/>
      <c r="H676" s="16"/>
      <c r="I676" s="16"/>
      <c r="J676" s="16"/>
      <c r="K676" s="16"/>
      <c r="L676" s="16"/>
      <c r="M676" s="15"/>
      <c r="N676" s="16"/>
      <c r="O676" s="16"/>
      <c r="P676" s="16"/>
      <c r="Q676" s="16"/>
      <c r="R676" s="16"/>
      <c r="S676" s="16"/>
      <c r="T676" s="16"/>
      <c r="U676" s="16"/>
      <c r="V676" s="16"/>
    </row>
    <row r="677" spans="1:22" ht="13.2">
      <c r="A677" s="12"/>
      <c r="B677" s="46"/>
      <c r="C677" s="12"/>
      <c r="D677" s="15"/>
      <c r="E677" s="15"/>
      <c r="F677" s="15"/>
      <c r="G677" s="16"/>
      <c r="H677" s="16"/>
      <c r="I677" s="16"/>
      <c r="J677" s="16"/>
      <c r="K677" s="16"/>
      <c r="L677" s="16"/>
      <c r="M677" s="15"/>
      <c r="N677" s="16"/>
      <c r="O677" s="16"/>
      <c r="P677" s="16"/>
      <c r="Q677" s="16"/>
      <c r="R677" s="16"/>
      <c r="S677" s="16"/>
      <c r="T677" s="16"/>
      <c r="U677" s="16"/>
      <c r="V677" s="16"/>
    </row>
    <row r="678" spans="1:22" ht="13.2">
      <c r="A678" s="12"/>
      <c r="B678" s="46"/>
      <c r="C678" s="12"/>
      <c r="D678" s="15"/>
      <c r="E678" s="15"/>
      <c r="F678" s="15"/>
      <c r="G678" s="16"/>
      <c r="H678" s="16"/>
      <c r="I678" s="16"/>
      <c r="J678" s="16"/>
      <c r="K678" s="16"/>
      <c r="L678" s="16"/>
      <c r="M678" s="15"/>
      <c r="N678" s="16"/>
      <c r="O678" s="16"/>
      <c r="P678" s="16"/>
      <c r="Q678" s="16"/>
      <c r="R678" s="16"/>
      <c r="S678" s="16"/>
      <c r="T678" s="16"/>
      <c r="U678" s="16"/>
      <c r="V678" s="16"/>
    </row>
    <row r="679" spans="1:22" ht="13.2">
      <c r="A679" s="12"/>
      <c r="B679" s="46"/>
      <c r="C679" s="12"/>
      <c r="D679" s="15"/>
      <c r="E679" s="15"/>
      <c r="F679" s="15"/>
      <c r="G679" s="16"/>
      <c r="H679" s="16"/>
      <c r="I679" s="16"/>
      <c r="J679" s="16"/>
      <c r="K679" s="16"/>
      <c r="L679" s="16"/>
      <c r="M679" s="15"/>
      <c r="N679" s="16"/>
      <c r="O679" s="16"/>
      <c r="P679" s="16"/>
      <c r="Q679" s="16"/>
      <c r="R679" s="16"/>
      <c r="S679" s="16"/>
      <c r="T679" s="16"/>
      <c r="U679" s="16"/>
      <c r="V679" s="16"/>
    </row>
    <row r="680" spans="1:22" ht="13.2">
      <c r="A680" s="12"/>
      <c r="B680" s="46"/>
      <c r="C680" s="12"/>
      <c r="D680" s="15"/>
      <c r="E680" s="15"/>
      <c r="F680" s="15"/>
      <c r="G680" s="16"/>
      <c r="H680" s="16"/>
      <c r="I680" s="16"/>
      <c r="J680" s="16"/>
      <c r="K680" s="16"/>
      <c r="L680" s="16"/>
      <c r="M680" s="15"/>
      <c r="N680" s="16"/>
      <c r="O680" s="16"/>
      <c r="P680" s="16"/>
      <c r="Q680" s="16"/>
      <c r="R680" s="16"/>
      <c r="S680" s="16"/>
      <c r="T680" s="16"/>
      <c r="U680" s="16"/>
      <c r="V680" s="16"/>
    </row>
    <row r="681" spans="1:22" ht="13.2">
      <c r="A681" s="12"/>
      <c r="B681" s="46"/>
      <c r="C681" s="12"/>
      <c r="D681" s="15"/>
      <c r="E681" s="15"/>
      <c r="F681" s="15"/>
      <c r="G681" s="16"/>
      <c r="H681" s="16"/>
      <c r="I681" s="16"/>
      <c r="J681" s="16"/>
      <c r="K681" s="16"/>
      <c r="L681" s="16"/>
      <c r="M681" s="15"/>
      <c r="N681" s="16"/>
      <c r="O681" s="16"/>
      <c r="P681" s="16"/>
      <c r="Q681" s="16"/>
      <c r="R681" s="16"/>
      <c r="S681" s="16"/>
      <c r="T681" s="16"/>
      <c r="U681" s="16"/>
      <c r="V681" s="16"/>
    </row>
    <row r="682" spans="1:22" ht="13.2">
      <c r="A682" s="12"/>
      <c r="B682" s="46"/>
      <c r="C682" s="12"/>
      <c r="D682" s="15"/>
      <c r="E682" s="15"/>
      <c r="F682" s="15"/>
      <c r="G682" s="16"/>
      <c r="H682" s="16"/>
      <c r="I682" s="16"/>
      <c r="J682" s="16"/>
      <c r="K682" s="16"/>
      <c r="L682" s="16"/>
      <c r="M682" s="15"/>
      <c r="N682" s="16"/>
      <c r="O682" s="16"/>
      <c r="P682" s="16"/>
      <c r="Q682" s="16"/>
      <c r="R682" s="16"/>
      <c r="S682" s="16"/>
      <c r="T682" s="16"/>
      <c r="U682" s="16"/>
      <c r="V682" s="16"/>
    </row>
    <row r="683" spans="1:22" ht="13.2">
      <c r="A683" s="12"/>
      <c r="B683" s="46"/>
      <c r="C683" s="12"/>
      <c r="D683" s="15"/>
      <c r="E683" s="15"/>
      <c r="F683" s="15"/>
      <c r="G683" s="16"/>
      <c r="H683" s="16"/>
      <c r="I683" s="16"/>
      <c r="J683" s="16"/>
      <c r="K683" s="16"/>
      <c r="L683" s="16"/>
      <c r="M683" s="15"/>
      <c r="N683" s="16"/>
      <c r="O683" s="16"/>
      <c r="P683" s="16"/>
      <c r="Q683" s="16"/>
      <c r="R683" s="16"/>
      <c r="S683" s="16"/>
      <c r="T683" s="16"/>
      <c r="U683" s="16"/>
      <c r="V683" s="16"/>
    </row>
    <row r="684" spans="1:22" ht="13.2">
      <c r="A684" s="12"/>
      <c r="B684" s="46"/>
      <c r="C684" s="12"/>
      <c r="D684" s="15"/>
      <c r="E684" s="15"/>
      <c r="F684" s="15"/>
      <c r="G684" s="16"/>
      <c r="H684" s="16"/>
      <c r="I684" s="16"/>
      <c r="J684" s="16"/>
      <c r="K684" s="16"/>
      <c r="L684" s="16"/>
      <c r="M684" s="15"/>
      <c r="N684" s="16"/>
      <c r="O684" s="16"/>
      <c r="P684" s="16"/>
      <c r="Q684" s="16"/>
      <c r="R684" s="16"/>
      <c r="S684" s="16"/>
      <c r="T684" s="16"/>
      <c r="U684" s="16"/>
      <c r="V684" s="16"/>
    </row>
    <row r="685" spans="1:22" ht="13.2">
      <c r="A685" s="12"/>
      <c r="B685" s="46"/>
      <c r="C685" s="12"/>
      <c r="D685" s="15"/>
      <c r="E685" s="15"/>
      <c r="F685" s="15"/>
      <c r="G685" s="16"/>
      <c r="H685" s="16"/>
      <c r="I685" s="16"/>
      <c r="J685" s="16"/>
      <c r="K685" s="16"/>
      <c r="L685" s="16"/>
      <c r="M685" s="15"/>
      <c r="N685" s="16"/>
      <c r="O685" s="16"/>
      <c r="P685" s="16"/>
      <c r="Q685" s="16"/>
      <c r="R685" s="16"/>
      <c r="S685" s="16"/>
      <c r="T685" s="16"/>
      <c r="U685" s="16"/>
      <c r="V685" s="16"/>
    </row>
    <row r="686" spans="1:22" ht="13.2">
      <c r="A686" s="12"/>
      <c r="B686" s="46"/>
      <c r="C686" s="12"/>
      <c r="D686" s="15"/>
      <c r="E686" s="15"/>
      <c r="F686" s="15"/>
      <c r="G686" s="16"/>
      <c r="H686" s="16"/>
      <c r="I686" s="16"/>
      <c r="J686" s="16"/>
      <c r="K686" s="16"/>
      <c r="L686" s="16"/>
      <c r="M686" s="15"/>
      <c r="N686" s="16"/>
      <c r="O686" s="16"/>
      <c r="P686" s="16"/>
      <c r="Q686" s="16"/>
      <c r="R686" s="16"/>
      <c r="S686" s="16"/>
      <c r="T686" s="16"/>
      <c r="U686" s="16"/>
      <c r="V686" s="16"/>
    </row>
    <row r="687" spans="1:22" ht="13.2">
      <c r="A687" s="12"/>
      <c r="B687" s="46"/>
      <c r="C687" s="12"/>
      <c r="D687" s="15"/>
      <c r="E687" s="15"/>
      <c r="F687" s="15"/>
      <c r="G687" s="16"/>
      <c r="H687" s="16"/>
      <c r="I687" s="16"/>
      <c r="J687" s="16"/>
      <c r="K687" s="16"/>
      <c r="L687" s="16"/>
      <c r="M687" s="15"/>
      <c r="N687" s="16"/>
      <c r="O687" s="16"/>
      <c r="P687" s="16"/>
      <c r="Q687" s="16"/>
      <c r="R687" s="16"/>
      <c r="S687" s="16"/>
      <c r="T687" s="16"/>
      <c r="U687" s="16"/>
      <c r="V687" s="16"/>
    </row>
    <row r="688" spans="1:22" ht="13.2">
      <c r="A688" s="12"/>
      <c r="B688" s="46"/>
      <c r="C688" s="12"/>
      <c r="D688" s="15"/>
      <c r="E688" s="15"/>
      <c r="F688" s="15"/>
      <c r="G688" s="16"/>
      <c r="H688" s="16"/>
      <c r="I688" s="16"/>
      <c r="J688" s="16"/>
      <c r="K688" s="16"/>
      <c r="L688" s="16"/>
      <c r="M688" s="15"/>
      <c r="N688" s="16"/>
      <c r="O688" s="16"/>
      <c r="P688" s="16"/>
      <c r="Q688" s="16"/>
      <c r="R688" s="16"/>
      <c r="S688" s="16"/>
      <c r="T688" s="16"/>
      <c r="U688" s="16"/>
      <c r="V688" s="16"/>
    </row>
    <row r="689" spans="1:22" ht="13.2">
      <c r="A689" s="12"/>
      <c r="B689" s="46"/>
      <c r="C689" s="12"/>
      <c r="D689" s="15"/>
      <c r="E689" s="15"/>
      <c r="F689" s="15"/>
      <c r="G689" s="16"/>
      <c r="H689" s="16"/>
      <c r="I689" s="16"/>
      <c r="J689" s="16"/>
      <c r="K689" s="16"/>
      <c r="L689" s="16"/>
      <c r="M689" s="15"/>
      <c r="N689" s="16"/>
      <c r="O689" s="16"/>
      <c r="P689" s="16"/>
      <c r="Q689" s="16"/>
      <c r="R689" s="16"/>
      <c r="S689" s="16"/>
      <c r="T689" s="16"/>
      <c r="U689" s="16"/>
      <c r="V689" s="16"/>
    </row>
    <row r="690" spans="1:22" ht="13.2">
      <c r="A690" s="12"/>
      <c r="B690" s="46"/>
      <c r="C690" s="12"/>
      <c r="D690" s="15"/>
      <c r="E690" s="15"/>
      <c r="F690" s="15"/>
      <c r="G690" s="16"/>
      <c r="H690" s="16"/>
      <c r="I690" s="16"/>
      <c r="J690" s="16"/>
      <c r="K690" s="16"/>
      <c r="L690" s="16"/>
      <c r="M690" s="15"/>
      <c r="N690" s="16"/>
      <c r="O690" s="16"/>
      <c r="P690" s="16"/>
      <c r="Q690" s="16"/>
      <c r="R690" s="16"/>
      <c r="S690" s="16"/>
      <c r="T690" s="16"/>
      <c r="U690" s="16"/>
      <c r="V690" s="16"/>
    </row>
    <row r="691" spans="1:22" ht="13.2">
      <c r="A691" s="12"/>
      <c r="B691" s="46"/>
      <c r="C691" s="12"/>
      <c r="D691" s="15"/>
      <c r="E691" s="15"/>
      <c r="F691" s="15"/>
      <c r="G691" s="16"/>
      <c r="H691" s="16"/>
      <c r="I691" s="16"/>
      <c r="J691" s="16"/>
      <c r="K691" s="16"/>
      <c r="L691" s="16"/>
      <c r="M691" s="15"/>
      <c r="N691" s="16"/>
      <c r="O691" s="16"/>
      <c r="P691" s="16"/>
      <c r="Q691" s="16"/>
      <c r="R691" s="16"/>
      <c r="S691" s="16"/>
      <c r="T691" s="16"/>
      <c r="U691" s="16"/>
      <c r="V691" s="16"/>
    </row>
    <row r="692" spans="1:22" ht="13.2">
      <c r="A692" s="12"/>
      <c r="B692" s="46"/>
      <c r="C692" s="12"/>
      <c r="D692" s="15"/>
      <c r="E692" s="15"/>
      <c r="F692" s="15"/>
      <c r="G692" s="16"/>
      <c r="H692" s="16"/>
      <c r="I692" s="16"/>
      <c r="J692" s="16"/>
      <c r="K692" s="16"/>
      <c r="L692" s="16"/>
      <c r="M692" s="15"/>
      <c r="N692" s="16"/>
      <c r="O692" s="16"/>
      <c r="P692" s="16"/>
      <c r="Q692" s="16"/>
      <c r="R692" s="16"/>
      <c r="S692" s="16"/>
      <c r="T692" s="16"/>
      <c r="U692" s="16"/>
      <c r="V692" s="16"/>
    </row>
    <row r="693" spans="1:22" ht="13.2">
      <c r="A693" s="12"/>
      <c r="B693" s="46"/>
      <c r="C693" s="12"/>
      <c r="D693" s="15"/>
      <c r="E693" s="15"/>
      <c r="F693" s="15"/>
      <c r="G693" s="16"/>
      <c r="H693" s="16"/>
      <c r="I693" s="16"/>
      <c r="J693" s="16"/>
      <c r="K693" s="16"/>
      <c r="L693" s="16"/>
      <c r="M693" s="15"/>
      <c r="N693" s="16"/>
      <c r="O693" s="16"/>
      <c r="P693" s="16"/>
      <c r="Q693" s="16"/>
      <c r="R693" s="16"/>
      <c r="S693" s="16"/>
      <c r="T693" s="16"/>
      <c r="U693" s="16"/>
      <c r="V693" s="16"/>
    </row>
    <row r="694" spans="1:22" ht="13.2">
      <c r="A694" s="12"/>
      <c r="B694" s="46"/>
      <c r="C694" s="12"/>
      <c r="D694" s="15"/>
      <c r="E694" s="15"/>
      <c r="F694" s="15"/>
      <c r="G694" s="16"/>
      <c r="H694" s="16"/>
      <c r="I694" s="16"/>
      <c r="J694" s="16"/>
      <c r="K694" s="16"/>
      <c r="L694" s="16"/>
      <c r="M694" s="15"/>
      <c r="N694" s="16"/>
      <c r="O694" s="16"/>
      <c r="P694" s="16"/>
      <c r="Q694" s="16"/>
      <c r="R694" s="16"/>
      <c r="S694" s="16"/>
      <c r="T694" s="16"/>
      <c r="U694" s="16"/>
      <c r="V694" s="16"/>
    </row>
    <row r="695" spans="1:22" ht="13.2">
      <c r="A695" s="12"/>
      <c r="B695" s="46"/>
      <c r="C695" s="12"/>
      <c r="D695" s="15"/>
      <c r="E695" s="15"/>
      <c r="F695" s="15"/>
      <c r="G695" s="16"/>
      <c r="H695" s="16"/>
      <c r="I695" s="16"/>
      <c r="J695" s="16"/>
      <c r="K695" s="16"/>
      <c r="L695" s="16"/>
      <c r="M695" s="15"/>
      <c r="N695" s="16"/>
      <c r="O695" s="16"/>
      <c r="P695" s="16"/>
      <c r="Q695" s="16"/>
      <c r="R695" s="16"/>
      <c r="S695" s="16"/>
      <c r="T695" s="16"/>
      <c r="U695" s="16"/>
      <c r="V695" s="16"/>
    </row>
    <row r="696" spans="1:22" ht="13.2">
      <c r="A696" s="12"/>
      <c r="B696" s="46"/>
      <c r="C696" s="12"/>
      <c r="D696" s="15"/>
      <c r="E696" s="15"/>
      <c r="F696" s="15"/>
      <c r="G696" s="16"/>
      <c r="H696" s="16"/>
      <c r="I696" s="16"/>
      <c r="J696" s="16"/>
      <c r="K696" s="16"/>
      <c r="L696" s="16"/>
      <c r="M696" s="15"/>
      <c r="N696" s="16"/>
      <c r="O696" s="16"/>
      <c r="P696" s="16"/>
      <c r="Q696" s="16"/>
      <c r="R696" s="16"/>
      <c r="S696" s="16"/>
      <c r="T696" s="16"/>
      <c r="U696" s="16"/>
      <c r="V696" s="16"/>
    </row>
    <row r="697" spans="1:22" ht="13.2">
      <c r="A697" s="12"/>
      <c r="B697" s="46"/>
      <c r="C697" s="12"/>
      <c r="D697" s="15"/>
      <c r="E697" s="15"/>
      <c r="F697" s="15"/>
      <c r="G697" s="16"/>
      <c r="H697" s="16"/>
      <c r="I697" s="16"/>
      <c r="J697" s="16"/>
      <c r="K697" s="16"/>
      <c r="L697" s="16"/>
      <c r="M697" s="15"/>
      <c r="N697" s="16"/>
      <c r="O697" s="16"/>
      <c r="P697" s="16"/>
      <c r="Q697" s="16"/>
      <c r="R697" s="16"/>
      <c r="S697" s="16"/>
      <c r="T697" s="16"/>
      <c r="U697" s="16"/>
      <c r="V697" s="16"/>
    </row>
    <row r="698" spans="1:22" ht="13.2">
      <c r="A698" s="12"/>
      <c r="B698" s="46"/>
      <c r="C698" s="12"/>
      <c r="D698" s="15"/>
      <c r="E698" s="15"/>
      <c r="F698" s="15"/>
      <c r="G698" s="16"/>
      <c r="H698" s="16"/>
      <c r="I698" s="16"/>
      <c r="J698" s="16"/>
      <c r="K698" s="16"/>
      <c r="L698" s="16"/>
      <c r="M698" s="15"/>
      <c r="N698" s="16"/>
      <c r="O698" s="16"/>
      <c r="P698" s="16"/>
      <c r="Q698" s="16"/>
      <c r="R698" s="16"/>
      <c r="S698" s="16"/>
      <c r="T698" s="16"/>
      <c r="U698" s="16"/>
      <c r="V698" s="16"/>
    </row>
    <row r="699" spans="1:22" ht="13.2">
      <c r="A699" s="12"/>
      <c r="B699" s="46"/>
      <c r="C699" s="12"/>
      <c r="D699" s="15"/>
      <c r="E699" s="15"/>
      <c r="F699" s="15"/>
      <c r="G699" s="16"/>
      <c r="H699" s="16"/>
      <c r="I699" s="16"/>
      <c r="J699" s="16"/>
      <c r="K699" s="16"/>
      <c r="L699" s="16"/>
      <c r="M699" s="15"/>
      <c r="N699" s="16"/>
      <c r="O699" s="16"/>
      <c r="P699" s="16"/>
      <c r="Q699" s="16"/>
      <c r="R699" s="16"/>
      <c r="S699" s="16"/>
      <c r="T699" s="16"/>
      <c r="U699" s="16"/>
      <c r="V699" s="16"/>
    </row>
    <row r="700" spans="1:22" ht="13.2">
      <c r="A700" s="12"/>
      <c r="B700" s="46"/>
      <c r="C700" s="12"/>
      <c r="D700" s="15"/>
      <c r="E700" s="15"/>
      <c r="F700" s="15"/>
      <c r="G700" s="16"/>
      <c r="H700" s="16"/>
      <c r="I700" s="16"/>
      <c r="J700" s="16"/>
      <c r="K700" s="16"/>
      <c r="L700" s="16"/>
      <c r="M700" s="15"/>
      <c r="N700" s="16"/>
      <c r="O700" s="16"/>
      <c r="P700" s="16"/>
      <c r="Q700" s="16"/>
      <c r="R700" s="16"/>
      <c r="S700" s="16"/>
      <c r="T700" s="16"/>
      <c r="U700" s="16"/>
      <c r="V700" s="16"/>
    </row>
    <row r="701" spans="1:22" ht="13.2">
      <c r="A701" s="12"/>
      <c r="B701" s="46"/>
      <c r="C701" s="12"/>
      <c r="D701" s="15"/>
      <c r="E701" s="15"/>
      <c r="F701" s="15"/>
      <c r="G701" s="16"/>
      <c r="H701" s="16"/>
      <c r="I701" s="16"/>
      <c r="J701" s="16"/>
      <c r="K701" s="16"/>
      <c r="L701" s="16"/>
      <c r="M701" s="15"/>
      <c r="N701" s="16"/>
      <c r="O701" s="16"/>
      <c r="P701" s="16"/>
      <c r="Q701" s="16"/>
      <c r="R701" s="16"/>
      <c r="S701" s="16"/>
      <c r="T701" s="16"/>
      <c r="U701" s="16"/>
      <c r="V701" s="16"/>
    </row>
    <row r="702" spans="1:22" ht="13.2">
      <c r="A702" s="12"/>
      <c r="B702" s="46"/>
      <c r="C702" s="12"/>
      <c r="D702" s="15"/>
      <c r="E702" s="15"/>
      <c r="F702" s="15"/>
      <c r="G702" s="16"/>
      <c r="H702" s="16"/>
      <c r="I702" s="16"/>
      <c r="J702" s="16"/>
      <c r="K702" s="16"/>
      <c r="L702" s="16"/>
      <c r="M702" s="15"/>
      <c r="N702" s="16"/>
      <c r="O702" s="16"/>
      <c r="P702" s="16"/>
      <c r="Q702" s="16"/>
      <c r="R702" s="16"/>
      <c r="S702" s="16"/>
      <c r="T702" s="16"/>
      <c r="U702" s="16"/>
      <c r="V702" s="16"/>
    </row>
    <row r="703" spans="1:22" ht="13.2">
      <c r="A703" s="12"/>
      <c r="B703" s="46"/>
      <c r="C703" s="12"/>
      <c r="D703" s="15"/>
      <c r="E703" s="15"/>
      <c r="F703" s="15"/>
      <c r="G703" s="16"/>
      <c r="H703" s="16"/>
      <c r="I703" s="16"/>
      <c r="J703" s="16"/>
      <c r="K703" s="16"/>
      <c r="L703" s="16"/>
      <c r="M703" s="15"/>
      <c r="N703" s="16"/>
      <c r="O703" s="16"/>
      <c r="P703" s="16"/>
      <c r="Q703" s="16"/>
      <c r="R703" s="16"/>
      <c r="S703" s="16"/>
      <c r="T703" s="16"/>
      <c r="U703" s="16"/>
      <c r="V703" s="16"/>
    </row>
    <row r="704" spans="1:22" ht="13.2">
      <c r="A704" s="12"/>
      <c r="B704" s="46"/>
      <c r="C704" s="12"/>
      <c r="D704" s="15"/>
      <c r="E704" s="15"/>
      <c r="F704" s="15"/>
      <c r="G704" s="16"/>
      <c r="H704" s="16"/>
      <c r="I704" s="16"/>
      <c r="J704" s="16"/>
      <c r="K704" s="16"/>
      <c r="L704" s="16"/>
      <c r="M704" s="15"/>
      <c r="N704" s="16"/>
      <c r="O704" s="16"/>
      <c r="P704" s="16"/>
      <c r="Q704" s="16"/>
      <c r="R704" s="16"/>
      <c r="S704" s="16"/>
      <c r="T704" s="16"/>
      <c r="U704" s="16"/>
      <c r="V704" s="16"/>
    </row>
    <row r="705" spans="1:22" ht="13.2">
      <c r="A705" s="12"/>
      <c r="B705" s="46"/>
      <c r="C705" s="12"/>
      <c r="D705" s="15"/>
      <c r="E705" s="15"/>
      <c r="F705" s="15"/>
      <c r="G705" s="16"/>
      <c r="H705" s="16"/>
      <c r="I705" s="16"/>
      <c r="J705" s="16"/>
      <c r="K705" s="16"/>
      <c r="L705" s="16"/>
      <c r="M705" s="15"/>
      <c r="N705" s="16"/>
      <c r="O705" s="16"/>
      <c r="P705" s="16"/>
      <c r="Q705" s="16"/>
      <c r="R705" s="16"/>
      <c r="S705" s="16"/>
      <c r="T705" s="16"/>
      <c r="U705" s="16"/>
      <c r="V705" s="16"/>
    </row>
    <row r="706" spans="1:22" ht="13.2">
      <c r="A706" s="12"/>
      <c r="B706" s="46"/>
      <c r="C706" s="12"/>
      <c r="D706" s="15"/>
      <c r="E706" s="15"/>
      <c r="F706" s="15"/>
      <c r="G706" s="16"/>
      <c r="H706" s="16"/>
      <c r="I706" s="16"/>
      <c r="J706" s="16"/>
      <c r="K706" s="16"/>
      <c r="L706" s="16"/>
      <c r="M706" s="15"/>
      <c r="N706" s="16"/>
      <c r="O706" s="16"/>
      <c r="P706" s="16"/>
      <c r="Q706" s="16"/>
      <c r="R706" s="16"/>
      <c r="S706" s="16"/>
      <c r="T706" s="16"/>
      <c r="U706" s="16"/>
      <c r="V706" s="16"/>
    </row>
    <row r="707" spans="1:22" ht="13.2">
      <c r="A707" s="12"/>
      <c r="B707" s="46"/>
      <c r="C707" s="12"/>
      <c r="D707" s="15"/>
      <c r="E707" s="15"/>
      <c r="F707" s="15"/>
      <c r="G707" s="16"/>
      <c r="H707" s="16"/>
      <c r="I707" s="16"/>
      <c r="J707" s="16"/>
      <c r="K707" s="16"/>
      <c r="L707" s="16"/>
      <c r="M707" s="15"/>
      <c r="N707" s="16"/>
      <c r="O707" s="16"/>
      <c r="P707" s="16"/>
      <c r="Q707" s="16"/>
      <c r="R707" s="16"/>
      <c r="S707" s="16"/>
      <c r="T707" s="16"/>
      <c r="U707" s="16"/>
      <c r="V707" s="16"/>
    </row>
    <row r="708" spans="1:22" ht="13.2">
      <c r="A708" s="12"/>
      <c r="B708" s="46"/>
      <c r="C708" s="12"/>
      <c r="D708" s="15"/>
      <c r="E708" s="15"/>
      <c r="F708" s="15"/>
      <c r="G708" s="16"/>
      <c r="H708" s="16"/>
      <c r="I708" s="16"/>
      <c r="J708" s="16"/>
      <c r="K708" s="16"/>
      <c r="L708" s="16"/>
      <c r="M708" s="15"/>
      <c r="N708" s="16"/>
      <c r="O708" s="16"/>
      <c r="P708" s="16"/>
      <c r="Q708" s="16"/>
      <c r="R708" s="16"/>
      <c r="S708" s="16"/>
      <c r="T708" s="16"/>
      <c r="U708" s="16"/>
      <c r="V708" s="16"/>
    </row>
    <row r="709" spans="1:22" ht="13.2">
      <c r="A709" s="12"/>
      <c r="B709" s="46"/>
      <c r="C709" s="12"/>
      <c r="D709" s="15"/>
      <c r="E709" s="15"/>
      <c r="F709" s="15"/>
      <c r="G709" s="16"/>
      <c r="H709" s="16"/>
      <c r="I709" s="16"/>
      <c r="J709" s="16"/>
      <c r="K709" s="16"/>
      <c r="L709" s="16"/>
      <c r="M709" s="15"/>
      <c r="N709" s="16"/>
      <c r="O709" s="16"/>
      <c r="P709" s="16"/>
      <c r="Q709" s="16"/>
      <c r="R709" s="16"/>
      <c r="S709" s="16"/>
      <c r="T709" s="16"/>
      <c r="U709" s="16"/>
      <c r="V709" s="16"/>
    </row>
    <row r="710" spans="1:22" ht="13.2">
      <c r="A710" s="12"/>
      <c r="B710" s="46"/>
      <c r="C710" s="12"/>
      <c r="D710" s="15"/>
      <c r="E710" s="15"/>
      <c r="F710" s="15"/>
      <c r="G710" s="16"/>
      <c r="H710" s="16"/>
      <c r="I710" s="16"/>
      <c r="J710" s="16"/>
      <c r="K710" s="16"/>
      <c r="L710" s="16"/>
      <c r="M710" s="15"/>
      <c r="N710" s="16"/>
      <c r="O710" s="16"/>
      <c r="P710" s="16"/>
      <c r="Q710" s="16"/>
      <c r="R710" s="16"/>
      <c r="S710" s="16"/>
      <c r="T710" s="16"/>
      <c r="U710" s="16"/>
      <c r="V710" s="16"/>
    </row>
    <row r="711" spans="1:22" ht="13.2">
      <c r="A711" s="12"/>
      <c r="B711" s="46"/>
      <c r="C711" s="12"/>
      <c r="D711" s="15"/>
      <c r="E711" s="15"/>
      <c r="F711" s="15"/>
      <c r="G711" s="16"/>
      <c r="H711" s="16"/>
      <c r="I711" s="16"/>
      <c r="J711" s="16"/>
      <c r="K711" s="16"/>
      <c r="L711" s="16"/>
      <c r="M711" s="15"/>
      <c r="N711" s="16"/>
      <c r="O711" s="16"/>
      <c r="P711" s="16"/>
      <c r="Q711" s="16"/>
      <c r="R711" s="16"/>
      <c r="S711" s="16"/>
      <c r="T711" s="16"/>
      <c r="U711" s="16"/>
      <c r="V711" s="16"/>
    </row>
    <row r="712" spans="1:22" ht="13.2">
      <c r="A712" s="12"/>
      <c r="B712" s="46"/>
      <c r="C712" s="12"/>
      <c r="D712" s="15"/>
      <c r="E712" s="15"/>
      <c r="F712" s="15"/>
      <c r="G712" s="16"/>
      <c r="H712" s="16"/>
      <c r="I712" s="16"/>
      <c r="J712" s="16"/>
      <c r="K712" s="16"/>
      <c r="L712" s="16"/>
      <c r="M712" s="15"/>
      <c r="N712" s="16"/>
      <c r="O712" s="16"/>
      <c r="P712" s="16"/>
      <c r="Q712" s="16"/>
      <c r="R712" s="16"/>
      <c r="S712" s="16"/>
      <c r="T712" s="16"/>
      <c r="U712" s="16"/>
      <c r="V712" s="16"/>
    </row>
    <row r="713" spans="1:22" ht="13.2">
      <c r="A713" s="12"/>
      <c r="B713" s="46"/>
      <c r="C713" s="12"/>
      <c r="D713" s="15"/>
      <c r="E713" s="15"/>
      <c r="F713" s="15"/>
      <c r="G713" s="16"/>
      <c r="H713" s="16"/>
      <c r="I713" s="16"/>
      <c r="J713" s="16"/>
      <c r="K713" s="16"/>
      <c r="L713" s="16"/>
      <c r="M713" s="15"/>
      <c r="N713" s="16"/>
      <c r="O713" s="16"/>
      <c r="P713" s="16"/>
      <c r="Q713" s="16"/>
      <c r="R713" s="16"/>
      <c r="S713" s="16"/>
      <c r="T713" s="16"/>
      <c r="U713" s="16"/>
      <c r="V713" s="16"/>
    </row>
    <row r="714" spans="1:22" ht="13.2">
      <c r="A714" s="12"/>
      <c r="B714" s="46"/>
      <c r="C714" s="12"/>
      <c r="D714" s="15"/>
      <c r="E714" s="15"/>
      <c r="F714" s="15"/>
      <c r="G714" s="16"/>
      <c r="H714" s="16"/>
      <c r="I714" s="16"/>
      <c r="J714" s="16"/>
      <c r="K714" s="16"/>
      <c r="L714" s="16"/>
      <c r="M714" s="15"/>
      <c r="N714" s="16"/>
      <c r="O714" s="16"/>
      <c r="P714" s="16"/>
      <c r="Q714" s="16"/>
      <c r="R714" s="16"/>
      <c r="S714" s="16"/>
      <c r="T714" s="16"/>
      <c r="U714" s="16"/>
      <c r="V714" s="16"/>
    </row>
    <row r="715" spans="1:22" ht="13.2">
      <c r="A715" s="12"/>
      <c r="B715" s="46"/>
      <c r="C715" s="12"/>
      <c r="D715" s="15"/>
      <c r="E715" s="15"/>
      <c r="F715" s="15"/>
      <c r="G715" s="16"/>
      <c r="H715" s="16"/>
      <c r="I715" s="16"/>
      <c r="J715" s="16"/>
      <c r="K715" s="16"/>
      <c r="L715" s="16"/>
      <c r="M715" s="15"/>
      <c r="N715" s="16"/>
      <c r="O715" s="16"/>
      <c r="P715" s="16"/>
      <c r="Q715" s="16"/>
      <c r="R715" s="16"/>
      <c r="S715" s="16"/>
      <c r="T715" s="16"/>
      <c r="U715" s="16"/>
      <c r="V715" s="16"/>
    </row>
    <row r="716" spans="1:22" ht="13.2">
      <c r="A716" s="12"/>
      <c r="B716" s="46"/>
      <c r="C716" s="12"/>
      <c r="D716" s="15"/>
      <c r="E716" s="15"/>
      <c r="F716" s="15"/>
      <c r="G716" s="16"/>
      <c r="H716" s="16"/>
      <c r="I716" s="16"/>
      <c r="J716" s="16"/>
      <c r="K716" s="16"/>
      <c r="L716" s="16"/>
      <c r="M716" s="15"/>
      <c r="N716" s="16"/>
      <c r="O716" s="16"/>
      <c r="P716" s="16"/>
      <c r="Q716" s="16"/>
      <c r="R716" s="16"/>
      <c r="S716" s="16"/>
      <c r="T716" s="16"/>
      <c r="U716" s="16"/>
      <c r="V716" s="16"/>
    </row>
    <row r="717" spans="1:22" ht="13.2">
      <c r="A717" s="12"/>
      <c r="B717" s="46"/>
      <c r="C717" s="12"/>
      <c r="D717" s="15"/>
      <c r="E717" s="15"/>
      <c r="F717" s="15"/>
      <c r="G717" s="16"/>
      <c r="H717" s="16"/>
      <c r="I717" s="16"/>
      <c r="J717" s="16"/>
      <c r="K717" s="16"/>
      <c r="L717" s="16"/>
      <c r="M717" s="15"/>
      <c r="N717" s="16"/>
      <c r="O717" s="16"/>
      <c r="P717" s="16"/>
      <c r="Q717" s="16"/>
      <c r="R717" s="16"/>
      <c r="S717" s="16"/>
      <c r="T717" s="16"/>
      <c r="U717" s="16"/>
      <c r="V717" s="16"/>
    </row>
    <row r="718" spans="1:22" ht="13.2">
      <c r="A718" s="12"/>
      <c r="B718" s="46"/>
      <c r="C718" s="12"/>
      <c r="D718" s="15"/>
      <c r="E718" s="15"/>
      <c r="F718" s="15"/>
      <c r="G718" s="16"/>
      <c r="H718" s="16"/>
      <c r="I718" s="16"/>
      <c r="J718" s="16"/>
      <c r="K718" s="16"/>
      <c r="L718" s="16"/>
      <c r="M718" s="15"/>
      <c r="N718" s="16"/>
      <c r="O718" s="16"/>
      <c r="P718" s="16"/>
      <c r="Q718" s="16"/>
      <c r="R718" s="16"/>
      <c r="S718" s="16"/>
      <c r="T718" s="16"/>
      <c r="U718" s="16"/>
      <c r="V718" s="16"/>
    </row>
    <row r="719" spans="1:22" ht="13.2">
      <c r="A719" s="12"/>
      <c r="B719" s="46"/>
      <c r="C719" s="12"/>
      <c r="D719" s="15"/>
      <c r="E719" s="15"/>
      <c r="F719" s="15"/>
      <c r="G719" s="16"/>
      <c r="H719" s="16"/>
      <c r="I719" s="16"/>
      <c r="J719" s="16"/>
      <c r="K719" s="16"/>
      <c r="L719" s="16"/>
      <c r="M719" s="15"/>
      <c r="N719" s="16"/>
      <c r="O719" s="16"/>
      <c r="P719" s="16"/>
      <c r="Q719" s="16"/>
      <c r="R719" s="16"/>
      <c r="S719" s="16"/>
      <c r="T719" s="16"/>
      <c r="U719" s="16"/>
      <c r="V719" s="16"/>
    </row>
    <row r="720" spans="1:22" ht="13.2">
      <c r="A720" s="12"/>
      <c r="B720" s="46"/>
      <c r="C720" s="12"/>
      <c r="D720" s="15"/>
      <c r="E720" s="15"/>
      <c r="F720" s="15"/>
      <c r="G720" s="16"/>
      <c r="H720" s="16"/>
      <c r="I720" s="16"/>
      <c r="J720" s="16"/>
      <c r="K720" s="16"/>
      <c r="L720" s="16"/>
      <c r="M720" s="15"/>
      <c r="N720" s="16"/>
      <c r="O720" s="16"/>
      <c r="P720" s="16"/>
      <c r="Q720" s="16"/>
      <c r="R720" s="16"/>
      <c r="S720" s="16"/>
      <c r="T720" s="16"/>
      <c r="U720" s="16"/>
      <c r="V720" s="16"/>
    </row>
    <row r="721" spans="1:22" ht="13.2">
      <c r="A721" s="12"/>
      <c r="B721" s="46"/>
      <c r="C721" s="12"/>
      <c r="D721" s="15"/>
      <c r="E721" s="15"/>
      <c r="F721" s="15"/>
      <c r="G721" s="16"/>
      <c r="H721" s="16"/>
      <c r="I721" s="16"/>
      <c r="J721" s="16"/>
      <c r="K721" s="16"/>
      <c r="L721" s="16"/>
      <c r="M721" s="15"/>
      <c r="N721" s="16"/>
      <c r="O721" s="16"/>
      <c r="P721" s="16"/>
      <c r="Q721" s="16"/>
      <c r="R721" s="16"/>
      <c r="S721" s="16"/>
      <c r="T721" s="16"/>
      <c r="U721" s="16"/>
      <c r="V721" s="16"/>
    </row>
    <row r="722" spans="1:22" ht="13.2">
      <c r="A722" s="12"/>
      <c r="B722" s="46"/>
      <c r="C722" s="12"/>
      <c r="D722" s="15"/>
      <c r="E722" s="15"/>
      <c r="F722" s="15"/>
      <c r="G722" s="16"/>
      <c r="H722" s="16"/>
      <c r="I722" s="16"/>
      <c r="J722" s="16"/>
      <c r="K722" s="16"/>
      <c r="L722" s="16"/>
      <c r="M722" s="15"/>
      <c r="N722" s="16"/>
      <c r="O722" s="16"/>
      <c r="P722" s="16"/>
      <c r="Q722" s="16"/>
      <c r="R722" s="16"/>
      <c r="S722" s="16"/>
      <c r="T722" s="16"/>
      <c r="U722" s="16"/>
      <c r="V722" s="16"/>
    </row>
    <row r="723" spans="1:22" ht="13.2">
      <c r="A723" s="12"/>
      <c r="B723" s="46"/>
      <c r="C723" s="12"/>
      <c r="D723" s="15"/>
      <c r="E723" s="15"/>
      <c r="F723" s="15"/>
      <c r="G723" s="16"/>
      <c r="H723" s="16"/>
      <c r="I723" s="16"/>
      <c r="J723" s="16"/>
      <c r="K723" s="16"/>
      <c r="L723" s="16"/>
      <c r="M723" s="15"/>
      <c r="N723" s="16"/>
      <c r="O723" s="16"/>
      <c r="P723" s="16"/>
      <c r="Q723" s="16"/>
      <c r="R723" s="16"/>
      <c r="S723" s="16"/>
      <c r="T723" s="16"/>
      <c r="U723" s="16"/>
      <c r="V723" s="16"/>
    </row>
    <row r="724" spans="1:22" ht="13.2">
      <c r="A724" s="12"/>
      <c r="B724" s="46"/>
      <c r="C724" s="12"/>
      <c r="D724" s="15"/>
      <c r="E724" s="15"/>
      <c r="F724" s="15"/>
      <c r="G724" s="16"/>
      <c r="H724" s="16"/>
      <c r="I724" s="16"/>
      <c r="J724" s="16"/>
      <c r="K724" s="16"/>
      <c r="L724" s="16"/>
      <c r="M724" s="15"/>
      <c r="N724" s="16"/>
      <c r="O724" s="16"/>
      <c r="P724" s="16"/>
      <c r="Q724" s="16"/>
      <c r="R724" s="16"/>
      <c r="S724" s="16"/>
      <c r="T724" s="16"/>
      <c r="U724" s="16"/>
      <c r="V724" s="16"/>
    </row>
    <row r="725" spans="1:22" ht="13.2">
      <c r="A725" s="12"/>
      <c r="B725" s="46"/>
      <c r="C725" s="12"/>
      <c r="D725" s="15"/>
      <c r="E725" s="15"/>
      <c r="F725" s="15"/>
      <c r="G725" s="16"/>
      <c r="H725" s="16"/>
      <c r="I725" s="16"/>
      <c r="J725" s="16"/>
      <c r="K725" s="16"/>
      <c r="L725" s="16"/>
      <c r="M725" s="15"/>
      <c r="N725" s="16"/>
      <c r="O725" s="16"/>
      <c r="P725" s="16"/>
      <c r="Q725" s="16"/>
      <c r="R725" s="16"/>
      <c r="S725" s="16"/>
      <c r="T725" s="16"/>
      <c r="U725" s="16"/>
      <c r="V725" s="16"/>
    </row>
    <row r="726" spans="1:22" ht="13.2">
      <c r="A726" s="12"/>
      <c r="B726" s="46"/>
      <c r="C726" s="12"/>
      <c r="D726" s="15"/>
      <c r="E726" s="15"/>
      <c r="F726" s="15"/>
      <c r="G726" s="16"/>
      <c r="H726" s="16"/>
      <c r="I726" s="16"/>
      <c r="J726" s="16"/>
      <c r="K726" s="16"/>
      <c r="L726" s="16"/>
      <c r="M726" s="15"/>
      <c r="N726" s="16"/>
      <c r="O726" s="16"/>
      <c r="P726" s="16"/>
      <c r="Q726" s="16"/>
      <c r="R726" s="16"/>
      <c r="S726" s="16"/>
      <c r="T726" s="16"/>
      <c r="U726" s="16"/>
      <c r="V726" s="16"/>
    </row>
    <row r="727" spans="1:22" ht="13.2">
      <c r="A727" s="12"/>
      <c r="B727" s="46"/>
      <c r="C727" s="12"/>
      <c r="D727" s="15"/>
      <c r="E727" s="15"/>
      <c r="F727" s="15"/>
      <c r="G727" s="16"/>
      <c r="H727" s="16"/>
      <c r="I727" s="16"/>
      <c r="J727" s="16"/>
      <c r="K727" s="16"/>
      <c r="L727" s="16"/>
      <c r="M727" s="15"/>
      <c r="N727" s="16"/>
      <c r="O727" s="16"/>
      <c r="P727" s="16"/>
      <c r="Q727" s="16"/>
      <c r="R727" s="16"/>
      <c r="S727" s="16"/>
      <c r="T727" s="16"/>
      <c r="U727" s="16"/>
      <c r="V727" s="16"/>
    </row>
    <row r="728" spans="1:22" ht="13.2">
      <c r="A728" s="12"/>
      <c r="B728" s="46"/>
      <c r="C728" s="12"/>
      <c r="D728" s="15"/>
      <c r="E728" s="15"/>
      <c r="F728" s="15"/>
      <c r="G728" s="16"/>
      <c r="H728" s="16"/>
      <c r="I728" s="16"/>
      <c r="J728" s="16"/>
      <c r="K728" s="16"/>
      <c r="L728" s="16"/>
      <c r="M728" s="15"/>
      <c r="N728" s="16"/>
      <c r="O728" s="16"/>
      <c r="P728" s="16"/>
      <c r="Q728" s="16"/>
      <c r="R728" s="16"/>
      <c r="S728" s="16"/>
      <c r="T728" s="16"/>
      <c r="U728" s="16"/>
      <c r="V728" s="16"/>
    </row>
    <row r="729" spans="1:22" ht="13.2">
      <c r="A729" s="12"/>
      <c r="B729" s="46"/>
      <c r="C729" s="12"/>
      <c r="D729" s="15"/>
      <c r="E729" s="15"/>
      <c r="F729" s="15"/>
      <c r="G729" s="16"/>
      <c r="H729" s="16"/>
      <c r="I729" s="16"/>
      <c r="J729" s="16"/>
      <c r="K729" s="16"/>
      <c r="L729" s="16"/>
      <c r="M729" s="15"/>
      <c r="N729" s="16"/>
      <c r="O729" s="16"/>
      <c r="P729" s="16"/>
      <c r="Q729" s="16"/>
      <c r="R729" s="16"/>
      <c r="S729" s="16"/>
      <c r="T729" s="16"/>
      <c r="U729" s="16"/>
      <c r="V729" s="16"/>
    </row>
    <row r="730" spans="1:22" ht="13.2">
      <c r="A730" s="12"/>
      <c r="B730" s="46"/>
      <c r="C730" s="12"/>
      <c r="D730" s="15"/>
      <c r="E730" s="15"/>
      <c r="F730" s="15"/>
      <c r="G730" s="16"/>
      <c r="H730" s="16"/>
      <c r="I730" s="16"/>
      <c r="J730" s="16"/>
      <c r="K730" s="16"/>
      <c r="L730" s="16"/>
      <c r="M730" s="15"/>
      <c r="N730" s="16"/>
      <c r="O730" s="16"/>
      <c r="P730" s="16"/>
      <c r="Q730" s="16"/>
      <c r="R730" s="16"/>
      <c r="S730" s="16"/>
      <c r="T730" s="16"/>
      <c r="U730" s="16"/>
      <c r="V730" s="16"/>
    </row>
    <row r="731" spans="1:22" ht="13.2">
      <c r="A731" s="12"/>
      <c r="B731" s="46"/>
      <c r="C731" s="12"/>
      <c r="D731" s="15"/>
      <c r="E731" s="15"/>
      <c r="F731" s="15"/>
      <c r="G731" s="16"/>
      <c r="H731" s="16"/>
      <c r="I731" s="16"/>
      <c r="J731" s="16"/>
      <c r="K731" s="16"/>
      <c r="L731" s="16"/>
      <c r="M731" s="15"/>
      <c r="N731" s="16"/>
      <c r="O731" s="16"/>
      <c r="P731" s="16"/>
      <c r="Q731" s="16"/>
      <c r="R731" s="16"/>
      <c r="S731" s="16"/>
      <c r="T731" s="16"/>
      <c r="U731" s="16"/>
      <c r="V731" s="16"/>
    </row>
    <row r="732" spans="1:22" ht="13.2">
      <c r="A732" s="12"/>
      <c r="B732" s="46"/>
      <c r="C732" s="12"/>
      <c r="D732" s="15"/>
      <c r="E732" s="15"/>
      <c r="F732" s="15"/>
      <c r="G732" s="16"/>
      <c r="H732" s="16"/>
      <c r="I732" s="16"/>
      <c r="J732" s="16"/>
      <c r="K732" s="16"/>
      <c r="L732" s="16"/>
      <c r="M732" s="15"/>
      <c r="N732" s="16"/>
      <c r="O732" s="16"/>
      <c r="P732" s="16"/>
      <c r="Q732" s="16"/>
      <c r="R732" s="16"/>
      <c r="S732" s="16"/>
      <c r="T732" s="16"/>
      <c r="U732" s="16"/>
      <c r="V732" s="16"/>
    </row>
    <row r="733" spans="1:22" ht="13.2">
      <c r="A733" s="12"/>
      <c r="B733" s="46"/>
      <c r="C733" s="12"/>
      <c r="D733" s="15"/>
      <c r="E733" s="15"/>
      <c r="F733" s="15"/>
      <c r="G733" s="16"/>
      <c r="H733" s="16"/>
      <c r="I733" s="16"/>
      <c r="J733" s="16"/>
      <c r="K733" s="16"/>
      <c r="L733" s="16"/>
      <c r="M733" s="15"/>
      <c r="N733" s="16"/>
      <c r="O733" s="16"/>
      <c r="P733" s="16"/>
      <c r="Q733" s="16"/>
      <c r="R733" s="16"/>
      <c r="S733" s="16"/>
      <c r="T733" s="16"/>
      <c r="U733" s="16"/>
      <c r="V733" s="16"/>
    </row>
    <row r="734" spans="1:22" ht="13.2">
      <c r="A734" s="12"/>
      <c r="B734" s="46"/>
      <c r="C734" s="12"/>
      <c r="D734" s="15"/>
      <c r="E734" s="15"/>
      <c r="F734" s="15"/>
      <c r="G734" s="16"/>
      <c r="H734" s="16"/>
      <c r="I734" s="16"/>
      <c r="J734" s="16"/>
      <c r="K734" s="16"/>
      <c r="L734" s="16"/>
      <c r="M734" s="15"/>
      <c r="N734" s="16"/>
      <c r="O734" s="16"/>
      <c r="P734" s="16"/>
      <c r="Q734" s="16"/>
      <c r="R734" s="16"/>
      <c r="S734" s="16"/>
      <c r="T734" s="16"/>
      <c r="U734" s="16"/>
      <c r="V734" s="16"/>
    </row>
    <row r="735" spans="1:22" ht="13.2">
      <c r="A735" s="12"/>
      <c r="B735" s="46"/>
      <c r="C735" s="12"/>
      <c r="D735" s="15"/>
      <c r="E735" s="15"/>
      <c r="F735" s="15"/>
      <c r="G735" s="16"/>
      <c r="H735" s="16"/>
      <c r="I735" s="16"/>
      <c r="J735" s="16"/>
      <c r="K735" s="16"/>
      <c r="L735" s="16"/>
      <c r="M735" s="15"/>
      <c r="N735" s="16"/>
      <c r="O735" s="16"/>
      <c r="P735" s="16"/>
      <c r="Q735" s="16"/>
      <c r="R735" s="16"/>
      <c r="S735" s="16"/>
      <c r="T735" s="16"/>
      <c r="U735" s="16"/>
      <c r="V735" s="16"/>
    </row>
    <row r="736" spans="1:22" ht="13.2">
      <c r="A736" s="12"/>
      <c r="B736" s="46"/>
      <c r="C736" s="12"/>
      <c r="D736" s="15"/>
      <c r="E736" s="15"/>
      <c r="F736" s="15"/>
      <c r="G736" s="16"/>
      <c r="H736" s="16"/>
      <c r="I736" s="16"/>
      <c r="J736" s="16"/>
      <c r="K736" s="16"/>
      <c r="L736" s="16"/>
      <c r="M736" s="15"/>
      <c r="N736" s="16"/>
      <c r="O736" s="16"/>
      <c r="P736" s="16"/>
      <c r="Q736" s="16"/>
      <c r="R736" s="16"/>
      <c r="S736" s="16"/>
      <c r="T736" s="16"/>
      <c r="U736" s="16"/>
      <c r="V736" s="16"/>
    </row>
    <row r="737" spans="1:22" ht="13.2">
      <c r="A737" s="12"/>
      <c r="B737" s="46"/>
      <c r="C737" s="12"/>
      <c r="D737" s="15"/>
      <c r="E737" s="15"/>
      <c r="F737" s="15"/>
      <c r="G737" s="16"/>
      <c r="H737" s="16"/>
      <c r="I737" s="16"/>
      <c r="J737" s="16"/>
      <c r="K737" s="16"/>
      <c r="L737" s="16"/>
      <c r="M737" s="15"/>
      <c r="N737" s="16"/>
      <c r="O737" s="16"/>
      <c r="P737" s="16"/>
      <c r="Q737" s="16"/>
      <c r="R737" s="16"/>
      <c r="S737" s="16"/>
      <c r="T737" s="16"/>
      <c r="U737" s="16"/>
      <c r="V737" s="16"/>
    </row>
    <row r="738" spans="1:22" ht="13.2">
      <c r="A738" s="12"/>
      <c r="B738" s="46"/>
      <c r="C738" s="12"/>
      <c r="D738" s="15"/>
      <c r="E738" s="15"/>
      <c r="F738" s="15"/>
      <c r="G738" s="16"/>
      <c r="H738" s="16"/>
      <c r="I738" s="16"/>
      <c r="J738" s="16"/>
      <c r="K738" s="16"/>
      <c r="L738" s="16"/>
      <c r="M738" s="15"/>
      <c r="N738" s="16"/>
      <c r="O738" s="16"/>
      <c r="P738" s="16"/>
      <c r="Q738" s="16"/>
      <c r="R738" s="16"/>
      <c r="S738" s="16"/>
      <c r="T738" s="16"/>
      <c r="U738" s="16"/>
      <c r="V738" s="16"/>
    </row>
    <row r="739" spans="1:22" ht="13.2">
      <c r="A739" s="12"/>
      <c r="B739" s="46"/>
      <c r="C739" s="12"/>
      <c r="D739" s="15"/>
      <c r="E739" s="15"/>
      <c r="F739" s="15"/>
      <c r="G739" s="16"/>
      <c r="H739" s="16"/>
      <c r="I739" s="16"/>
      <c r="J739" s="16"/>
      <c r="K739" s="16"/>
      <c r="L739" s="16"/>
      <c r="M739" s="15"/>
      <c r="N739" s="16"/>
      <c r="O739" s="16"/>
      <c r="P739" s="16"/>
      <c r="Q739" s="16"/>
      <c r="R739" s="16"/>
      <c r="S739" s="16"/>
      <c r="T739" s="16"/>
      <c r="U739" s="16"/>
      <c r="V739" s="16"/>
    </row>
    <row r="740" spans="1:22" ht="13.2">
      <c r="A740" s="12"/>
      <c r="B740" s="46"/>
      <c r="C740" s="12"/>
      <c r="D740" s="15"/>
      <c r="E740" s="15"/>
      <c r="F740" s="15"/>
      <c r="G740" s="16"/>
      <c r="H740" s="16"/>
      <c r="I740" s="16"/>
      <c r="J740" s="16"/>
      <c r="K740" s="16"/>
      <c r="L740" s="16"/>
      <c r="M740" s="15"/>
      <c r="N740" s="16"/>
      <c r="O740" s="16"/>
      <c r="P740" s="16"/>
      <c r="Q740" s="16"/>
      <c r="R740" s="16"/>
      <c r="S740" s="16"/>
      <c r="T740" s="16"/>
      <c r="U740" s="16"/>
      <c r="V740" s="16"/>
    </row>
    <row r="741" spans="1:22" ht="13.2">
      <c r="A741" s="12"/>
      <c r="B741" s="46"/>
      <c r="C741" s="12"/>
      <c r="D741" s="15"/>
      <c r="E741" s="15"/>
      <c r="F741" s="15"/>
      <c r="G741" s="16"/>
      <c r="H741" s="16"/>
      <c r="I741" s="16"/>
      <c r="J741" s="16"/>
      <c r="K741" s="16"/>
      <c r="L741" s="16"/>
      <c r="M741" s="15"/>
      <c r="N741" s="16"/>
      <c r="O741" s="16"/>
      <c r="P741" s="16"/>
      <c r="Q741" s="16"/>
      <c r="R741" s="16"/>
      <c r="S741" s="16"/>
      <c r="T741" s="16"/>
      <c r="U741" s="16"/>
      <c r="V741" s="16"/>
    </row>
    <row r="742" spans="1:22" ht="13.2">
      <c r="A742" s="12"/>
      <c r="B742" s="46"/>
      <c r="C742" s="12"/>
      <c r="D742" s="15"/>
      <c r="E742" s="15"/>
      <c r="F742" s="15"/>
      <c r="G742" s="16"/>
      <c r="H742" s="16"/>
      <c r="I742" s="16"/>
      <c r="J742" s="16"/>
      <c r="K742" s="16"/>
      <c r="L742" s="16"/>
      <c r="M742" s="15"/>
      <c r="N742" s="16"/>
      <c r="O742" s="16"/>
      <c r="P742" s="16"/>
      <c r="Q742" s="16"/>
      <c r="R742" s="16"/>
      <c r="S742" s="16"/>
      <c r="T742" s="16"/>
      <c r="U742" s="16"/>
      <c r="V742" s="16"/>
    </row>
    <row r="743" spans="1:22" ht="13.2">
      <c r="A743" s="12"/>
      <c r="B743" s="46"/>
      <c r="C743" s="12"/>
      <c r="D743" s="15"/>
      <c r="E743" s="15"/>
      <c r="F743" s="15"/>
      <c r="G743" s="16"/>
      <c r="H743" s="16"/>
      <c r="I743" s="16"/>
      <c r="J743" s="16"/>
      <c r="K743" s="16"/>
      <c r="L743" s="16"/>
      <c r="M743" s="15"/>
      <c r="N743" s="16"/>
      <c r="O743" s="16"/>
      <c r="P743" s="16"/>
      <c r="Q743" s="16"/>
      <c r="R743" s="16"/>
      <c r="S743" s="16"/>
      <c r="T743" s="16"/>
      <c r="U743" s="16"/>
      <c r="V743" s="16"/>
    </row>
    <row r="744" spans="1:22" ht="13.2">
      <c r="A744" s="12"/>
      <c r="B744" s="46"/>
      <c r="C744" s="12"/>
      <c r="D744" s="15"/>
      <c r="E744" s="15"/>
      <c r="F744" s="15"/>
      <c r="G744" s="16"/>
      <c r="H744" s="16"/>
      <c r="I744" s="16"/>
      <c r="J744" s="16"/>
      <c r="K744" s="16"/>
      <c r="L744" s="16"/>
      <c r="M744" s="15"/>
      <c r="N744" s="16"/>
      <c r="O744" s="16"/>
      <c r="P744" s="16"/>
      <c r="Q744" s="16"/>
      <c r="R744" s="16"/>
      <c r="S744" s="16"/>
      <c r="T744" s="16"/>
      <c r="U744" s="16"/>
      <c r="V744" s="16"/>
    </row>
    <row r="745" spans="1:22" ht="13.2">
      <c r="A745" s="12"/>
      <c r="B745" s="46"/>
      <c r="C745" s="12"/>
      <c r="D745" s="15"/>
      <c r="E745" s="15"/>
      <c r="F745" s="15"/>
      <c r="G745" s="16"/>
      <c r="H745" s="16"/>
      <c r="I745" s="16"/>
      <c r="J745" s="16"/>
      <c r="K745" s="16"/>
      <c r="L745" s="16"/>
      <c r="M745" s="15"/>
      <c r="N745" s="16"/>
      <c r="O745" s="16"/>
      <c r="P745" s="16"/>
      <c r="Q745" s="16"/>
      <c r="R745" s="16"/>
      <c r="S745" s="16"/>
      <c r="T745" s="16"/>
      <c r="U745" s="16"/>
      <c r="V745" s="16"/>
    </row>
    <row r="746" spans="1:22" ht="13.2">
      <c r="A746" s="12"/>
      <c r="B746" s="46"/>
      <c r="C746" s="12"/>
      <c r="D746" s="15"/>
      <c r="E746" s="15"/>
      <c r="F746" s="15"/>
      <c r="G746" s="16"/>
      <c r="H746" s="16"/>
      <c r="I746" s="16"/>
      <c r="J746" s="16"/>
      <c r="K746" s="16"/>
      <c r="L746" s="16"/>
      <c r="M746" s="15"/>
      <c r="N746" s="16"/>
      <c r="O746" s="16"/>
      <c r="P746" s="16"/>
      <c r="Q746" s="16"/>
      <c r="R746" s="16"/>
      <c r="S746" s="16"/>
      <c r="T746" s="16"/>
      <c r="U746" s="16"/>
      <c r="V746" s="16"/>
    </row>
    <row r="747" spans="1:22" ht="13.2">
      <c r="A747" s="12"/>
      <c r="B747" s="46"/>
      <c r="C747" s="12"/>
      <c r="D747" s="15"/>
      <c r="E747" s="15"/>
      <c r="F747" s="15"/>
      <c r="G747" s="16"/>
      <c r="H747" s="16"/>
      <c r="I747" s="16"/>
      <c r="J747" s="16"/>
      <c r="K747" s="16"/>
      <c r="L747" s="16"/>
      <c r="M747" s="15"/>
      <c r="N747" s="16"/>
      <c r="O747" s="16"/>
      <c r="P747" s="16"/>
      <c r="Q747" s="16"/>
      <c r="R747" s="16"/>
      <c r="S747" s="16"/>
      <c r="T747" s="16"/>
      <c r="U747" s="16"/>
      <c r="V747" s="16"/>
    </row>
    <row r="748" spans="1:22" ht="13.2">
      <c r="A748" s="12"/>
      <c r="B748" s="46"/>
      <c r="C748" s="12"/>
      <c r="D748" s="15"/>
      <c r="E748" s="15"/>
      <c r="F748" s="15"/>
      <c r="G748" s="16"/>
      <c r="H748" s="16"/>
      <c r="I748" s="16"/>
      <c r="J748" s="16"/>
      <c r="K748" s="16"/>
      <c r="L748" s="16"/>
      <c r="M748" s="15"/>
      <c r="N748" s="16"/>
      <c r="O748" s="16"/>
      <c r="P748" s="16"/>
      <c r="Q748" s="16"/>
      <c r="R748" s="16"/>
      <c r="S748" s="16"/>
      <c r="T748" s="16"/>
      <c r="U748" s="16"/>
      <c r="V748" s="16"/>
    </row>
    <row r="749" spans="1:22" ht="13.2">
      <c r="A749" s="12"/>
      <c r="B749" s="46"/>
      <c r="C749" s="12"/>
      <c r="D749" s="15"/>
      <c r="E749" s="15"/>
      <c r="F749" s="15"/>
      <c r="G749" s="16"/>
      <c r="H749" s="16"/>
      <c r="I749" s="16"/>
      <c r="J749" s="16"/>
      <c r="K749" s="16"/>
      <c r="L749" s="16"/>
      <c r="M749" s="15"/>
      <c r="N749" s="16"/>
      <c r="O749" s="16"/>
      <c r="P749" s="16"/>
      <c r="Q749" s="16"/>
      <c r="R749" s="16"/>
      <c r="S749" s="16"/>
      <c r="T749" s="16"/>
      <c r="U749" s="16"/>
      <c r="V749" s="16"/>
    </row>
    <row r="750" spans="1:22" ht="13.2">
      <c r="A750" s="12"/>
      <c r="B750" s="46"/>
      <c r="C750" s="12"/>
      <c r="D750" s="15"/>
      <c r="E750" s="15"/>
      <c r="F750" s="15"/>
      <c r="G750" s="16"/>
      <c r="H750" s="16"/>
      <c r="I750" s="16"/>
      <c r="J750" s="16"/>
      <c r="K750" s="16"/>
      <c r="L750" s="16"/>
      <c r="M750" s="15"/>
      <c r="N750" s="16"/>
      <c r="O750" s="16"/>
      <c r="P750" s="16"/>
      <c r="Q750" s="16"/>
      <c r="R750" s="16"/>
      <c r="S750" s="16"/>
      <c r="T750" s="16"/>
      <c r="U750" s="16"/>
      <c r="V750" s="16"/>
    </row>
    <row r="751" spans="1:22" ht="13.2">
      <c r="A751" s="12"/>
      <c r="B751" s="46"/>
      <c r="C751" s="12"/>
      <c r="D751" s="15"/>
      <c r="E751" s="15"/>
      <c r="F751" s="15"/>
      <c r="G751" s="16"/>
      <c r="H751" s="16"/>
      <c r="I751" s="16"/>
      <c r="J751" s="16"/>
      <c r="K751" s="16"/>
      <c r="L751" s="16"/>
      <c r="M751" s="15"/>
      <c r="N751" s="16"/>
      <c r="O751" s="16"/>
      <c r="P751" s="16"/>
      <c r="Q751" s="16"/>
      <c r="R751" s="16"/>
      <c r="S751" s="16"/>
      <c r="T751" s="16"/>
      <c r="U751" s="16"/>
      <c r="V751" s="16"/>
    </row>
    <row r="752" spans="1:22" ht="13.2">
      <c r="A752" s="12"/>
      <c r="B752" s="46"/>
      <c r="C752" s="12"/>
      <c r="D752" s="15"/>
      <c r="E752" s="15"/>
      <c r="F752" s="15"/>
      <c r="G752" s="16"/>
      <c r="H752" s="16"/>
      <c r="I752" s="16"/>
      <c r="J752" s="16"/>
      <c r="K752" s="16"/>
      <c r="L752" s="16"/>
      <c r="M752" s="15"/>
      <c r="N752" s="16"/>
      <c r="O752" s="16"/>
      <c r="P752" s="16"/>
      <c r="Q752" s="16"/>
      <c r="R752" s="16"/>
      <c r="S752" s="16"/>
      <c r="T752" s="16"/>
      <c r="U752" s="16"/>
      <c r="V752" s="16"/>
    </row>
    <row r="753" spans="1:22" ht="13.2">
      <c r="A753" s="12"/>
      <c r="B753" s="46"/>
      <c r="C753" s="12"/>
      <c r="D753" s="15"/>
      <c r="E753" s="15"/>
      <c r="F753" s="15"/>
      <c r="G753" s="16"/>
      <c r="H753" s="16"/>
      <c r="I753" s="16"/>
      <c r="J753" s="16"/>
      <c r="K753" s="16"/>
      <c r="L753" s="16"/>
      <c r="M753" s="15"/>
      <c r="N753" s="16"/>
      <c r="O753" s="16"/>
      <c r="P753" s="16"/>
      <c r="Q753" s="16"/>
      <c r="R753" s="16"/>
      <c r="S753" s="16"/>
      <c r="T753" s="16"/>
      <c r="U753" s="16"/>
      <c r="V753" s="16"/>
    </row>
    <row r="754" spans="1:22" ht="13.2">
      <c r="A754" s="12"/>
      <c r="B754" s="46"/>
      <c r="C754" s="12"/>
      <c r="D754" s="15"/>
      <c r="E754" s="15"/>
      <c r="F754" s="15"/>
      <c r="G754" s="16"/>
      <c r="H754" s="16"/>
      <c r="I754" s="16"/>
      <c r="J754" s="16"/>
      <c r="K754" s="16"/>
      <c r="L754" s="16"/>
      <c r="M754" s="15"/>
      <c r="N754" s="16"/>
      <c r="O754" s="16"/>
      <c r="P754" s="16"/>
      <c r="Q754" s="16"/>
      <c r="R754" s="16"/>
      <c r="S754" s="16"/>
      <c r="T754" s="16"/>
      <c r="U754" s="16"/>
      <c r="V754" s="16"/>
    </row>
    <row r="755" spans="1:22" ht="13.2">
      <c r="A755" s="12"/>
      <c r="B755" s="46"/>
      <c r="C755" s="12"/>
      <c r="D755" s="15"/>
      <c r="E755" s="15"/>
      <c r="F755" s="15"/>
      <c r="G755" s="16"/>
      <c r="H755" s="16"/>
      <c r="I755" s="16"/>
      <c r="J755" s="16"/>
      <c r="K755" s="16"/>
      <c r="L755" s="16"/>
      <c r="M755" s="15"/>
      <c r="N755" s="16"/>
      <c r="O755" s="16"/>
      <c r="P755" s="16"/>
      <c r="Q755" s="16"/>
      <c r="R755" s="16"/>
      <c r="S755" s="16"/>
      <c r="T755" s="16"/>
      <c r="U755" s="16"/>
      <c r="V755" s="16"/>
    </row>
    <row r="756" spans="1:22" ht="13.2">
      <c r="A756" s="12"/>
      <c r="B756" s="46"/>
      <c r="C756" s="12"/>
      <c r="D756" s="15"/>
      <c r="E756" s="15"/>
      <c r="F756" s="15"/>
      <c r="G756" s="16"/>
      <c r="H756" s="16"/>
      <c r="I756" s="16"/>
      <c r="J756" s="16"/>
      <c r="K756" s="16"/>
      <c r="L756" s="16"/>
      <c r="M756" s="15"/>
      <c r="N756" s="16"/>
      <c r="O756" s="16"/>
      <c r="P756" s="16"/>
      <c r="Q756" s="16"/>
      <c r="R756" s="16"/>
      <c r="S756" s="16"/>
      <c r="T756" s="16"/>
      <c r="U756" s="16"/>
      <c r="V756" s="16"/>
    </row>
    <row r="757" spans="1:22" ht="13.2">
      <c r="A757" s="12"/>
      <c r="B757" s="46"/>
      <c r="C757" s="12"/>
      <c r="D757" s="15"/>
      <c r="E757" s="15"/>
      <c r="F757" s="15"/>
      <c r="G757" s="16"/>
      <c r="H757" s="16"/>
      <c r="I757" s="16"/>
      <c r="J757" s="16"/>
      <c r="K757" s="16"/>
      <c r="L757" s="16"/>
      <c r="M757" s="15"/>
      <c r="N757" s="16"/>
      <c r="O757" s="16"/>
      <c r="P757" s="16"/>
      <c r="Q757" s="16"/>
      <c r="R757" s="16"/>
      <c r="S757" s="16"/>
      <c r="T757" s="16"/>
      <c r="U757" s="16"/>
      <c r="V757" s="16"/>
    </row>
    <row r="758" spans="1:22" ht="13.2">
      <c r="A758" s="12"/>
      <c r="B758" s="46"/>
      <c r="C758" s="12"/>
      <c r="D758" s="15"/>
      <c r="E758" s="15"/>
      <c r="F758" s="15"/>
      <c r="G758" s="16"/>
      <c r="H758" s="16"/>
      <c r="I758" s="16"/>
      <c r="J758" s="16"/>
      <c r="K758" s="16"/>
      <c r="L758" s="16"/>
      <c r="M758" s="15"/>
      <c r="N758" s="16"/>
      <c r="O758" s="16"/>
      <c r="P758" s="16"/>
      <c r="Q758" s="16"/>
      <c r="R758" s="16"/>
      <c r="S758" s="16"/>
      <c r="T758" s="16"/>
      <c r="U758" s="16"/>
      <c r="V758" s="16"/>
    </row>
    <row r="759" spans="1:22" ht="13.2">
      <c r="A759" s="12"/>
      <c r="B759" s="46"/>
      <c r="C759" s="12"/>
      <c r="D759" s="15"/>
      <c r="E759" s="15"/>
      <c r="F759" s="15"/>
      <c r="G759" s="16"/>
      <c r="H759" s="16"/>
      <c r="I759" s="16"/>
      <c r="J759" s="16"/>
      <c r="K759" s="16"/>
      <c r="L759" s="16"/>
      <c r="M759" s="15"/>
      <c r="N759" s="16"/>
      <c r="O759" s="16"/>
      <c r="P759" s="16"/>
      <c r="Q759" s="16"/>
      <c r="R759" s="16"/>
      <c r="S759" s="16"/>
      <c r="T759" s="16"/>
      <c r="U759" s="16"/>
      <c r="V759" s="16"/>
    </row>
    <row r="760" spans="1:22" ht="13.2">
      <c r="A760" s="12"/>
      <c r="B760" s="46"/>
      <c r="C760" s="12"/>
      <c r="D760" s="15"/>
      <c r="E760" s="15"/>
      <c r="F760" s="15"/>
      <c r="G760" s="16"/>
      <c r="H760" s="16"/>
      <c r="I760" s="16"/>
      <c r="J760" s="16"/>
      <c r="K760" s="16"/>
      <c r="L760" s="16"/>
      <c r="M760" s="15"/>
      <c r="N760" s="16"/>
      <c r="O760" s="16"/>
      <c r="P760" s="16"/>
      <c r="Q760" s="16"/>
      <c r="R760" s="16"/>
      <c r="S760" s="16"/>
      <c r="T760" s="16"/>
      <c r="U760" s="16"/>
      <c r="V760" s="16"/>
    </row>
    <row r="761" spans="1:22" ht="13.2">
      <c r="A761" s="12"/>
      <c r="B761" s="46"/>
      <c r="C761" s="12"/>
      <c r="D761" s="15"/>
      <c r="E761" s="15"/>
      <c r="F761" s="15"/>
      <c r="G761" s="16"/>
      <c r="H761" s="16"/>
      <c r="I761" s="16"/>
      <c r="J761" s="16"/>
      <c r="K761" s="16"/>
      <c r="L761" s="16"/>
      <c r="M761" s="15"/>
      <c r="N761" s="16"/>
      <c r="O761" s="16"/>
      <c r="P761" s="16"/>
      <c r="Q761" s="16"/>
      <c r="R761" s="16"/>
      <c r="S761" s="16"/>
      <c r="T761" s="16"/>
      <c r="U761" s="16"/>
      <c r="V761" s="16"/>
    </row>
    <row r="762" spans="1:22" ht="13.2">
      <c r="A762" s="12"/>
      <c r="B762" s="46"/>
      <c r="C762" s="12"/>
      <c r="D762" s="15"/>
      <c r="E762" s="15"/>
      <c r="F762" s="15"/>
      <c r="G762" s="16"/>
      <c r="H762" s="16"/>
      <c r="I762" s="16"/>
      <c r="J762" s="16"/>
      <c r="K762" s="16"/>
      <c r="L762" s="16"/>
      <c r="M762" s="15"/>
      <c r="N762" s="16"/>
      <c r="O762" s="16"/>
      <c r="P762" s="16"/>
      <c r="Q762" s="16"/>
      <c r="R762" s="16"/>
      <c r="S762" s="16"/>
      <c r="T762" s="16"/>
      <c r="U762" s="16"/>
      <c r="V762" s="16"/>
    </row>
    <row r="763" spans="1:22" ht="13.2">
      <c r="A763" s="12"/>
      <c r="B763" s="46"/>
      <c r="C763" s="12"/>
      <c r="D763" s="15"/>
      <c r="E763" s="15"/>
      <c r="F763" s="15"/>
      <c r="G763" s="16"/>
      <c r="H763" s="16"/>
      <c r="I763" s="16"/>
      <c r="J763" s="16"/>
      <c r="K763" s="16"/>
      <c r="L763" s="16"/>
      <c r="M763" s="15"/>
      <c r="N763" s="16"/>
      <c r="O763" s="16"/>
      <c r="P763" s="16"/>
      <c r="Q763" s="16"/>
      <c r="R763" s="16"/>
      <c r="S763" s="16"/>
      <c r="T763" s="16"/>
      <c r="U763" s="16"/>
      <c r="V763" s="16"/>
    </row>
    <row r="764" spans="1:22" ht="13.2">
      <c r="A764" s="12"/>
      <c r="B764" s="46"/>
      <c r="C764" s="12"/>
      <c r="D764" s="15"/>
      <c r="E764" s="15"/>
      <c r="F764" s="15"/>
      <c r="G764" s="16"/>
      <c r="H764" s="16"/>
      <c r="I764" s="16"/>
      <c r="J764" s="16"/>
      <c r="K764" s="16"/>
      <c r="L764" s="16"/>
      <c r="M764" s="15"/>
      <c r="N764" s="16"/>
      <c r="O764" s="16"/>
      <c r="P764" s="16"/>
      <c r="Q764" s="16"/>
      <c r="R764" s="16"/>
      <c r="S764" s="16"/>
      <c r="T764" s="16"/>
      <c r="U764" s="16"/>
      <c r="V764" s="16"/>
    </row>
    <row r="765" spans="1:22" ht="13.2">
      <c r="A765" s="12"/>
      <c r="B765" s="46"/>
      <c r="C765" s="12"/>
      <c r="D765" s="15"/>
      <c r="E765" s="15"/>
      <c r="F765" s="15"/>
      <c r="G765" s="16"/>
      <c r="H765" s="16"/>
      <c r="I765" s="16"/>
      <c r="J765" s="16"/>
      <c r="K765" s="16"/>
      <c r="L765" s="16"/>
      <c r="M765" s="15"/>
      <c r="N765" s="16"/>
      <c r="O765" s="16"/>
      <c r="P765" s="16"/>
      <c r="Q765" s="16"/>
      <c r="R765" s="16"/>
      <c r="S765" s="16"/>
      <c r="T765" s="16"/>
      <c r="U765" s="16"/>
      <c r="V765" s="16"/>
    </row>
    <row r="766" spans="1:22" ht="13.2">
      <c r="A766" s="12"/>
      <c r="B766" s="46"/>
      <c r="C766" s="12"/>
      <c r="D766" s="15"/>
      <c r="E766" s="15"/>
      <c r="F766" s="15"/>
      <c r="G766" s="16"/>
      <c r="H766" s="16"/>
      <c r="I766" s="16"/>
      <c r="J766" s="16"/>
      <c r="K766" s="16"/>
      <c r="L766" s="16"/>
      <c r="M766" s="15"/>
      <c r="N766" s="16"/>
      <c r="O766" s="16"/>
      <c r="P766" s="16"/>
      <c r="Q766" s="16"/>
      <c r="R766" s="16"/>
      <c r="S766" s="16"/>
      <c r="T766" s="16"/>
      <c r="U766" s="16"/>
      <c r="V766" s="16"/>
    </row>
    <row r="767" spans="1:22" ht="13.2">
      <c r="A767" s="12"/>
      <c r="B767" s="46"/>
      <c r="C767" s="12"/>
      <c r="D767" s="15"/>
      <c r="E767" s="15"/>
      <c r="F767" s="15"/>
      <c r="G767" s="16"/>
      <c r="H767" s="16"/>
      <c r="I767" s="16"/>
      <c r="J767" s="16"/>
      <c r="K767" s="16"/>
      <c r="L767" s="16"/>
      <c r="M767" s="15"/>
      <c r="N767" s="16"/>
      <c r="O767" s="16"/>
      <c r="P767" s="16"/>
      <c r="Q767" s="16"/>
      <c r="R767" s="16"/>
      <c r="S767" s="16"/>
      <c r="T767" s="16"/>
      <c r="U767" s="16"/>
      <c r="V767" s="16"/>
    </row>
    <row r="768" spans="1:22" ht="13.2">
      <c r="A768" s="12"/>
      <c r="B768" s="46"/>
      <c r="C768" s="12"/>
      <c r="D768" s="15"/>
      <c r="E768" s="15"/>
      <c r="F768" s="15"/>
      <c r="G768" s="16"/>
      <c r="H768" s="16"/>
      <c r="I768" s="16"/>
      <c r="J768" s="16"/>
      <c r="K768" s="16"/>
      <c r="L768" s="16"/>
      <c r="M768" s="15"/>
      <c r="N768" s="16"/>
      <c r="O768" s="16"/>
      <c r="P768" s="16"/>
      <c r="Q768" s="16"/>
      <c r="R768" s="16"/>
      <c r="S768" s="16"/>
      <c r="T768" s="16"/>
      <c r="U768" s="16"/>
      <c r="V768" s="16"/>
    </row>
    <row r="769" spans="1:22" ht="13.2">
      <c r="A769" s="12"/>
      <c r="B769" s="46"/>
      <c r="C769" s="12"/>
      <c r="D769" s="15"/>
      <c r="E769" s="15"/>
      <c r="F769" s="15"/>
      <c r="G769" s="16"/>
      <c r="H769" s="16"/>
      <c r="I769" s="16"/>
      <c r="J769" s="16"/>
      <c r="K769" s="16"/>
      <c r="L769" s="16"/>
      <c r="M769" s="15"/>
      <c r="N769" s="16"/>
      <c r="O769" s="16"/>
      <c r="P769" s="16"/>
      <c r="Q769" s="16"/>
      <c r="R769" s="16"/>
      <c r="S769" s="16"/>
      <c r="T769" s="16"/>
      <c r="U769" s="16"/>
      <c r="V769" s="16"/>
    </row>
    <row r="770" spans="1:22" ht="13.2">
      <c r="A770" s="12"/>
      <c r="B770" s="46"/>
      <c r="C770" s="12"/>
      <c r="D770" s="15"/>
      <c r="E770" s="15"/>
      <c r="F770" s="15"/>
      <c r="G770" s="16"/>
      <c r="H770" s="16"/>
      <c r="I770" s="16"/>
      <c r="J770" s="16"/>
      <c r="K770" s="16"/>
      <c r="L770" s="16"/>
      <c r="M770" s="15"/>
      <c r="N770" s="16"/>
      <c r="O770" s="16"/>
      <c r="P770" s="16"/>
      <c r="Q770" s="16"/>
      <c r="R770" s="16"/>
      <c r="S770" s="16"/>
      <c r="T770" s="16"/>
      <c r="U770" s="16"/>
      <c r="V770" s="16"/>
    </row>
    <row r="771" spans="1:22" ht="13.2">
      <c r="A771" s="12"/>
      <c r="B771" s="46"/>
      <c r="C771" s="12"/>
      <c r="D771" s="15"/>
      <c r="E771" s="15"/>
      <c r="F771" s="15"/>
      <c r="G771" s="16"/>
      <c r="H771" s="16"/>
      <c r="I771" s="16"/>
      <c r="J771" s="16"/>
      <c r="K771" s="16"/>
      <c r="L771" s="16"/>
      <c r="M771" s="15"/>
      <c r="N771" s="16"/>
      <c r="O771" s="16"/>
      <c r="P771" s="16"/>
      <c r="Q771" s="16"/>
      <c r="R771" s="16"/>
      <c r="S771" s="16"/>
      <c r="T771" s="16"/>
      <c r="U771" s="16"/>
      <c r="V771" s="16"/>
    </row>
    <row r="772" spans="1:22" ht="13.2">
      <c r="A772" s="12"/>
      <c r="B772" s="46"/>
      <c r="C772" s="12"/>
      <c r="D772" s="15"/>
      <c r="E772" s="15"/>
      <c r="F772" s="15"/>
      <c r="G772" s="16"/>
      <c r="H772" s="16"/>
      <c r="I772" s="16"/>
      <c r="J772" s="16"/>
      <c r="K772" s="16"/>
      <c r="L772" s="16"/>
      <c r="M772" s="15"/>
      <c r="N772" s="16"/>
      <c r="O772" s="16"/>
      <c r="P772" s="16"/>
      <c r="Q772" s="16"/>
      <c r="R772" s="16"/>
      <c r="S772" s="16"/>
      <c r="T772" s="16"/>
      <c r="U772" s="16"/>
      <c r="V772" s="16"/>
    </row>
    <row r="773" spans="1:22" ht="13.2">
      <c r="A773" s="12"/>
      <c r="B773" s="46"/>
      <c r="C773" s="12"/>
      <c r="D773" s="15"/>
      <c r="E773" s="15"/>
      <c r="F773" s="15"/>
      <c r="G773" s="16"/>
      <c r="H773" s="16"/>
      <c r="I773" s="16"/>
      <c r="J773" s="16"/>
      <c r="K773" s="16"/>
      <c r="L773" s="16"/>
      <c r="M773" s="15"/>
      <c r="N773" s="16"/>
      <c r="O773" s="16"/>
      <c r="P773" s="16"/>
      <c r="Q773" s="16"/>
      <c r="R773" s="16"/>
      <c r="S773" s="16"/>
      <c r="T773" s="16"/>
      <c r="U773" s="16"/>
      <c r="V773" s="16"/>
    </row>
    <row r="774" spans="1:22" ht="13.2">
      <c r="A774" s="12"/>
      <c r="B774" s="46"/>
      <c r="C774" s="12"/>
      <c r="D774" s="15"/>
      <c r="E774" s="15"/>
      <c r="F774" s="15"/>
      <c r="G774" s="16"/>
      <c r="H774" s="16"/>
      <c r="I774" s="16"/>
      <c r="J774" s="16"/>
      <c r="K774" s="16"/>
      <c r="L774" s="16"/>
      <c r="M774" s="15"/>
      <c r="N774" s="16"/>
      <c r="O774" s="16"/>
      <c r="P774" s="16"/>
      <c r="Q774" s="16"/>
      <c r="R774" s="16"/>
      <c r="S774" s="16"/>
      <c r="T774" s="16"/>
      <c r="U774" s="16"/>
      <c r="V774" s="16"/>
    </row>
    <row r="775" spans="1:22" ht="13.2">
      <c r="A775" s="12"/>
      <c r="B775" s="46"/>
      <c r="C775" s="12"/>
      <c r="D775" s="15"/>
      <c r="E775" s="15"/>
      <c r="F775" s="15"/>
      <c r="G775" s="16"/>
      <c r="H775" s="16"/>
      <c r="I775" s="16"/>
      <c r="J775" s="16"/>
      <c r="K775" s="16"/>
      <c r="L775" s="16"/>
      <c r="M775" s="15"/>
      <c r="N775" s="16"/>
      <c r="O775" s="16"/>
      <c r="P775" s="16"/>
      <c r="Q775" s="16"/>
      <c r="R775" s="16"/>
      <c r="S775" s="16"/>
      <c r="T775" s="16"/>
      <c r="U775" s="16"/>
      <c r="V775" s="16"/>
    </row>
    <row r="776" spans="1:22" ht="13.2">
      <c r="A776" s="12"/>
      <c r="B776" s="46"/>
      <c r="C776" s="12"/>
      <c r="D776" s="15"/>
      <c r="E776" s="15"/>
      <c r="F776" s="15"/>
      <c r="G776" s="16"/>
      <c r="H776" s="16"/>
      <c r="I776" s="16"/>
      <c r="J776" s="16"/>
      <c r="K776" s="16"/>
      <c r="L776" s="16"/>
      <c r="M776" s="15"/>
      <c r="N776" s="16"/>
      <c r="O776" s="16"/>
      <c r="P776" s="16"/>
      <c r="Q776" s="16"/>
      <c r="R776" s="16"/>
      <c r="S776" s="16"/>
      <c r="T776" s="16"/>
      <c r="U776" s="16"/>
      <c r="V776" s="16"/>
    </row>
    <row r="777" spans="1:22" ht="13.2">
      <c r="A777" s="12"/>
      <c r="B777" s="46"/>
      <c r="C777" s="12"/>
      <c r="D777" s="15"/>
      <c r="E777" s="15"/>
      <c r="F777" s="15"/>
      <c r="G777" s="16"/>
      <c r="H777" s="16"/>
      <c r="I777" s="16"/>
      <c r="J777" s="16"/>
      <c r="K777" s="16"/>
      <c r="L777" s="16"/>
      <c r="M777" s="15"/>
      <c r="N777" s="16"/>
      <c r="O777" s="16"/>
      <c r="P777" s="16"/>
      <c r="Q777" s="16"/>
      <c r="R777" s="16"/>
      <c r="S777" s="16"/>
      <c r="T777" s="16"/>
      <c r="U777" s="16"/>
      <c r="V777" s="16"/>
    </row>
    <row r="778" spans="1:22" ht="13.2">
      <c r="A778" s="12"/>
      <c r="B778" s="46"/>
      <c r="C778" s="12"/>
      <c r="D778" s="15"/>
      <c r="E778" s="15"/>
      <c r="F778" s="15"/>
      <c r="G778" s="16"/>
      <c r="H778" s="16"/>
      <c r="I778" s="16"/>
      <c r="J778" s="16"/>
      <c r="K778" s="16"/>
      <c r="L778" s="16"/>
      <c r="M778" s="15"/>
      <c r="N778" s="16"/>
      <c r="O778" s="16"/>
      <c r="P778" s="16"/>
      <c r="Q778" s="16"/>
      <c r="R778" s="16"/>
      <c r="S778" s="16"/>
      <c r="T778" s="16"/>
      <c r="U778" s="16"/>
      <c r="V778" s="16"/>
    </row>
    <row r="779" spans="1:22" ht="13.2">
      <c r="A779" s="12"/>
      <c r="B779" s="46"/>
      <c r="C779" s="12"/>
      <c r="D779" s="15"/>
      <c r="E779" s="15"/>
      <c r="F779" s="15"/>
      <c r="G779" s="16"/>
      <c r="H779" s="16"/>
      <c r="I779" s="16"/>
      <c r="J779" s="16"/>
      <c r="K779" s="16"/>
      <c r="L779" s="16"/>
      <c r="M779" s="15"/>
      <c r="N779" s="16"/>
      <c r="O779" s="16"/>
      <c r="P779" s="16"/>
      <c r="Q779" s="16"/>
      <c r="R779" s="16"/>
      <c r="S779" s="16"/>
      <c r="T779" s="16"/>
      <c r="U779" s="16"/>
      <c r="V779" s="16"/>
    </row>
    <row r="780" spans="1:22" ht="13.2">
      <c r="A780" s="12"/>
      <c r="B780" s="46"/>
      <c r="C780" s="12"/>
      <c r="D780" s="15"/>
      <c r="E780" s="15"/>
      <c r="F780" s="15"/>
      <c r="G780" s="16"/>
      <c r="H780" s="16"/>
      <c r="I780" s="16"/>
      <c r="J780" s="16"/>
      <c r="K780" s="16"/>
      <c r="L780" s="16"/>
      <c r="M780" s="15"/>
      <c r="N780" s="16"/>
      <c r="O780" s="16"/>
      <c r="P780" s="16"/>
      <c r="Q780" s="16"/>
      <c r="R780" s="16"/>
      <c r="S780" s="16"/>
      <c r="T780" s="16"/>
      <c r="U780" s="16"/>
      <c r="V780" s="16"/>
    </row>
    <row r="781" spans="1:22" ht="13.2">
      <c r="A781" s="12"/>
      <c r="B781" s="46"/>
      <c r="C781" s="12"/>
      <c r="D781" s="15"/>
      <c r="E781" s="15"/>
      <c r="F781" s="15"/>
      <c r="G781" s="16"/>
      <c r="H781" s="16"/>
      <c r="I781" s="16"/>
      <c r="J781" s="16"/>
      <c r="K781" s="16"/>
      <c r="L781" s="16"/>
      <c r="M781" s="15"/>
      <c r="N781" s="16"/>
      <c r="O781" s="16"/>
      <c r="P781" s="16"/>
      <c r="Q781" s="16"/>
      <c r="R781" s="16"/>
      <c r="S781" s="16"/>
      <c r="T781" s="16"/>
      <c r="U781" s="16"/>
      <c r="V781" s="16"/>
    </row>
    <row r="782" spans="1:22" ht="13.2">
      <c r="A782" s="12"/>
      <c r="B782" s="46"/>
      <c r="C782" s="12"/>
      <c r="D782" s="15"/>
      <c r="E782" s="15"/>
      <c r="F782" s="15"/>
      <c r="G782" s="16"/>
      <c r="H782" s="16"/>
      <c r="I782" s="16"/>
      <c r="J782" s="16"/>
      <c r="K782" s="16"/>
      <c r="L782" s="16"/>
      <c r="M782" s="15"/>
      <c r="N782" s="16"/>
      <c r="O782" s="16"/>
      <c r="P782" s="16"/>
      <c r="Q782" s="16"/>
      <c r="R782" s="16"/>
      <c r="S782" s="16"/>
      <c r="T782" s="16"/>
      <c r="U782" s="16"/>
      <c r="V782" s="16"/>
    </row>
    <row r="783" spans="1:22" ht="13.2">
      <c r="A783" s="12"/>
      <c r="B783" s="46"/>
      <c r="C783" s="12"/>
      <c r="D783" s="15"/>
      <c r="E783" s="15"/>
      <c r="F783" s="15"/>
      <c r="G783" s="16"/>
      <c r="H783" s="16"/>
      <c r="I783" s="16"/>
      <c r="J783" s="16"/>
      <c r="K783" s="16"/>
      <c r="L783" s="16"/>
      <c r="M783" s="15"/>
      <c r="N783" s="16"/>
      <c r="O783" s="16"/>
      <c r="P783" s="16"/>
      <c r="Q783" s="16"/>
      <c r="R783" s="16"/>
      <c r="S783" s="16"/>
      <c r="T783" s="16"/>
      <c r="U783" s="16"/>
      <c r="V783" s="16"/>
    </row>
    <row r="784" spans="1:22" ht="13.2">
      <c r="A784" s="12"/>
      <c r="B784" s="46"/>
      <c r="C784" s="12"/>
      <c r="D784" s="15"/>
      <c r="E784" s="15"/>
      <c r="F784" s="15"/>
      <c r="G784" s="16"/>
      <c r="H784" s="16"/>
      <c r="I784" s="16"/>
      <c r="J784" s="16"/>
      <c r="K784" s="16"/>
      <c r="L784" s="16"/>
      <c r="M784" s="15"/>
      <c r="N784" s="16"/>
      <c r="O784" s="16"/>
      <c r="P784" s="16"/>
      <c r="Q784" s="16"/>
      <c r="R784" s="16"/>
      <c r="S784" s="16"/>
      <c r="T784" s="16"/>
      <c r="U784" s="16"/>
      <c r="V784" s="16"/>
    </row>
    <row r="785" spans="1:22" ht="13.2">
      <c r="A785" s="12"/>
      <c r="B785" s="46"/>
      <c r="C785" s="12"/>
      <c r="D785" s="15"/>
      <c r="E785" s="15"/>
      <c r="F785" s="15"/>
      <c r="G785" s="16"/>
      <c r="H785" s="16"/>
      <c r="I785" s="16"/>
      <c r="J785" s="16"/>
      <c r="K785" s="16"/>
      <c r="L785" s="16"/>
      <c r="M785" s="15"/>
      <c r="N785" s="16"/>
      <c r="O785" s="16"/>
      <c r="P785" s="16"/>
      <c r="Q785" s="16"/>
      <c r="R785" s="16"/>
      <c r="S785" s="16"/>
      <c r="T785" s="16"/>
      <c r="U785" s="16"/>
      <c r="V785" s="16"/>
    </row>
    <row r="786" spans="1:22" ht="13.2">
      <c r="A786" s="12"/>
      <c r="B786" s="46"/>
      <c r="C786" s="12"/>
      <c r="D786" s="15"/>
      <c r="E786" s="15"/>
      <c r="F786" s="15"/>
      <c r="G786" s="16"/>
      <c r="H786" s="16"/>
      <c r="I786" s="16"/>
      <c r="J786" s="16"/>
      <c r="K786" s="16"/>
      <c r="L786" s="16"/>
      <c r="M786" s="15"/>
      <c r="N786" s="16"/>
      <c r="O786" s="16"/>
      <c r="P786" s="16"/>
      <c r="Q786" s="16"/>
      <c r="R786" s="16"/>
      <c r="S786" s="16"/>
      <c r="T786" s="16"/>
      <c r="U786" s="16"/>
      <c r="V786" s="16"/>
    </row>
    <row r="787" spans="1:22" ht="13.2">
      <c r="A787" s="12"/>
      <c r="B787" s="46"/>
      <c r="C787" s="12"/>
      <c r="D787" s="15"/>
      <c r="E787" s="15"/>
      <c r="F787" s="15"/>
      <c r="G787" s="16"/>
      <c r="H787" s="16"/>
      <c r="I787" s="16"/>
      <c r="J787" s="16"/>
      <c r="K787" s="16"/>
      <c r="L787" s="16"/>
      <c r="M787" s="15"/>
      <c r="N787" s="16"/>
      <c r="O787" s="16"/>
      <c r="P787" s="16"/>
      <c r="Q787" s="16"/>
      <c r="R787" s="16"/>
      <c r="S787" s="16"/>
      <c r="T787" s="16"/>
      <c r="U787" s="16"/>
      <c r="V787" s="16"/>
    </row>
    <row r="788" spans="1:22" ht="13.2">
      <c r="A788" s="12"/>
      <c r="B788" s="46"/>
      <c r="C788" s="12"/>
      <c r="D788" s="15"/>
      <c r="E788" s="15"/>
      <c r="F788" s="15"/>
      <c r="G788" s="16"/>
      <c r="H788" s="16"/>
      <c r="I788" s="16"/>
      <c r="J788" s="16"/>
      <c r="K788" s="16"/>
      <c r="L788" s="16"/>
      <c r="M788" s="15"/>
      <c r="N788" s="16"/>
      <c r="O788" s="16"/>
      <c r="P788" s="16"/>
      <c r="Q788" s="16"/>
      <c r="R788" s="16"/>
      <c r="S788" s="16"/>
      <c r="T788" s="16"/>
      <c r="U788" s="16"/>
      <c r="V788" s="16"/>
    </row>
    <row r="789" spans="1:22" ht="13.2">
      <c r="A789" s="12"/>
      <c r="B789" s="46"/>
      <c r="C789" s="12"/>
      <c r="D789" s="15"/>
      <c r="E789" s="15"/>
      <c r="F789" s="15"/>
      <c r="G789" s="16"/>
      <c r="H789" s="16"/>
      <c r="I789" s="16"/>
      <c r="J789" s="16"/>
      <c r="K789" s="16"/>
      <c r="L789" s="16"/>
      <c r="M789" s="15"/>
      <c r="N789" s="16"/>
      <c r="O789" s="16"/>
      <c r="P789" s="16"/>
      <c r="Q789" s="16"/>
      <c r="R789" s="16"/>
      <c r="S789" s="16"/>
      <c r="T789" s="16"/>
      <c r="U789" s="16"/>
      <c r="V789" s="16"/>
    </row>
    <row r="790" spans="1:22" ht="13.2">
      <c r="A790" s="12"/>
      <c r="B790" s="46"/>
      <c r="C790" s="12"/>
      <c r="D790" s="15"/>
      <c r="E790" s="15"/>
      <c r="F790" s="15"/>
      <c r="G790" s="16"/>
      <c r="H790" s="16"/>
      <c r="I790" s="16"/>
      <c r="J790" s="16"/>
      <c r="K790" s="16"/>
      <c r="L790" s="16"/>
      <c r="M790" s="15"/>
      <c r="N790" s="16"/>
      <c r="O790" s="16"/>
      <c r="P790" s="16"/>
      <c r="Q790" s="16"/>
      <c r="R790" s="16"/>
      <c r="S790" s="16"/>
      <c r="T790" s="16"/>
      <c r="U790" s="16"/>
      <c r="V790" s="16"/>
    </row>
    <row r="791" spans="1:22" ht="13.2">
      <c r="A791" s="12"/>
      <c r="B791" s="46"/>
      <c r="C791" s="12"/>
      <c r="D791" s="15"/>
      <c r="E791" s="15"/>
      <c r="F791" s="15"/>
      <c r="G791" s="16"/>
      <c r="H791" s="16"/>
      <c r="I791" s="16"/>
      <c r="J791" s="16"/>
      <c r="K791" s="16"/>
      <c r="L791" s="16"/>
      <c r="M791" s="15"/>
      <c r="N791" s="16"/>
      <c r="O791" s="16"/>
      <c r="P791" s="16"/>
      <c r="Q791" s="16"/>
      <c r="R791" s="16"/>
      <c r="S791" s="16"/>
      <c r="T791" s="16"/>
      <c r="U791" s="16"/>
      <c r="V791" s="16"/>
    </row>
    <row r="792" spans="1:22" ht="13.2">
      <c r="A792" s="12"/>
      <c r="B792" s="46"/>
      <c r="C792" s="12"/>
      <c r="D792" s="15"/>
      <c r="E792" s="15"/>
      <c r="F792" s="15"/>
      <c r="G792" s="16"/>
      <c r="H792" s="16"/>
      <c r="I792" s="16"/>
      <c r="J792" s="16"/>
      <c r="K792" s="16"/>
      <c r="L792" s="16"/>
      <c r="M792" s="15"/>
      <c r="N792" s="16"/>
      <c r="O792" s="16"/>
      <c r="P792" s="16"/>
      <c r="Q792" s="16"/>
      <c r="R792" s="16"/>
      <c r="S792" s="16"/>
      <c r="T792" s="16"/>
      <c r="U792" s="16"/>
      <c r="V792" s="16"/>
    </row>
    <row r="793" spans="1:22" ht="13.2">
      <c r="A793" s="12"/>
      <c r="B793" s="46"/>
      <c r="C793" s="12"/>
      <c r="D793" s="15"/>
      <c r="E793" s="15"/>
      <c r="F793" s="15"/>
      <c r="G793" s="16"/>
      <c r="H793" s="16"/>
      <c r="I793" s="16"/>
      <c r="J793" s="16"/>
      <c r="K793" s="16"/>
      <c r="L793" s="16"/>
      <c r="M793" s="15"/>
      <c r="N793" s="16"/>
      <c r="O793" s="16"/>
      <c r="P793" s="16"/>
      <c r="Q793" s="16"/>
      <c r="R793" s="16"/>
      <c r="S793" s="16"/>
      <c r="T793" s="16"/>
      <c r="U793" s="16"/>
      <c r="V793" s="16"/>
    </row>
    <row r="794" spans="1:22" ht="13.2">
      <c r="A794" s="12"/>
      <c r="B794" s="46"/>
      <c r="C794" s="12"/>
      <c r="D794" s="15"/>
      <c r="E794" s="15"/>
      <c r="F794" s="15"/>
      <c r="G794" s="16"/>
      <c r="H794" s="16"/>
      <c r="I794" s="16"/>
      <c r="J794" s="16"/>
      <c r="K794" s="16"/>
      <c r="L794" s="16"/>
      <c r="M794" s="15"/>
      <c r="N794" s="16"/>
      <c r="O794" s="16"/>
      <c r="P794" s="16"/>
      <c r="Q794" s="16"/>
      <c r="R794" s="16"/>
      <c r="S794" s="16"/>
      <c r="T794" s="16"/>
      <c r="U794" s="16"/>
      <c r="V794" s="16"/>
    </row>
    <row r="795" spans="1:22" ht="13.2">
      <c r="A795" s="12"/>
      <c r="B795" s="46"/>
      <c r="C795" s="12"/>
      <c r="D795" s="15"/>
      <c r="E795" s="15"/>
      <c r="F795" s="15"/>
      <c r="G795" s="16"/>
      <c r="H795" s="16"/>
      <c r="I795" s="16"/>
      <c r="J795" s="16"/>
      <c r="K795" s="16"/>
      <c r="L795" s="16"/>
      <c r="M795" s="15"/>
      <c r="N795" s="16"/>
      <c r="O795" s="16"/>
      <c r="P795" s="16"/>
      <c r="Q795" s="16"/>
      <c r="R795" s="16"/>
      <c r="S795" s="16"/>
      <c r="T795" s="16"/>
      <c r="U795" s="16"/>
      <c r="V795" s="16"/>
    </row>
    <row r="796" spans="1:22" ht="13.2">
      <c r="A796" s="12"/>
      <c r="B796" s="46"/>
      <c r="C796" s="12"/>
      <c r="D796" s="15"/>
      <c r="E796" s="15"/>
      <c r="F796" s="15"/>
      <c r="G796" s="16"/>
      <c r="H796" s="16"/>
      <c r="I796" s="16"/>
      <c r="J796" s="16"/>
      <c r="K796" s="16"/>
      <c r="L796" s="16"/>
      <c r="M796" s="15"/>
      <c r="N796" s="16"/>
      <c r="O796" s="16"/>
      <c r="P796" s="16"/>
      <c r="Q796" s="16"/>
      <c r="R796" s="16"/>
      <c r="S796" s="16"/>
      <c r="T796" s="16"/>
      <c r="U796" s="16"/>
      <c r="V796" s="16"/>
    </row>
    <row r="797" spans="1:22" ht="13.2">
      <c r="A797" s="12"/>
      <c r="B797" s="46"/>
      <c r="C797" s="12"/>
      <c r="D797" s="15"/>
      <c r="E797" s="15"/>
      <c r="F797" s="15"/>
      <c r="G797" s="16"/>
      <c r="H797" s="16"/>
      <c r="I797" s="16"/>
      <c r="J797" s="16"/>
      <c r="K797" s="16"/>
      <c r="L797" s="16"/>
      <c r="M797" s="15"/>
      <c r="N797" s="16"/>
      <c r="O797" s="16"/>
      <c r="P797" s="16"/>
      <c r="Q797" s="16"/>
      <c r="R797" s="16"/>
      <c r="S797" s="16"/>
      <c r="T797" s="16"/>
      <c r="U797" s="16"/>
      <c r="V797" s="16"/>
    </row>
    <row r="798" spans="1:22" ht="13.2">
      <c r="A798" s="12"/>
      <c r="B798" s="46"/>
      <c r="C798" s="12"/>
      <c r="D798" s="15"/>
      <c r="E798" s="15"/>
      <c r="F798" s="15"/>
      <c r="G798" s="16"/>
      <c r="H798" s="16"/>
      <c r="I798" s="16"/>
      <c r="J798" s="16"/>
      <c r="K798" s="16"/>
      <c r="L798" s="16"/>
      <c r="M798" s="15"/>
      <c r="N798" s="16"/>
      <c r="O798" s="16"/>
      <c r="P798" s="16"/>
      <c r="Q798" s="16"/>
      <c r="R798" s="16"/>
      <c r="S798" s="16"/>
      <c r="T798" s="16"/>
      <c r="U798" s="16"/>
      <c r="V798" s="16"/>
    </row>
    <row r="799" spans="1:22" ht="13.2">
      <c r="A799" s="12"/>
      <c r="B799" s="46"/>
      <c r="C799" s="12"/>
      <c r="D799" s="15"/>
      <c r="E799" s="15"/>
      <c r="F799" s="15"/>
      <c r="G799" s="16"/>
      <c r="H799" s="16"/>
      <c r="I799" s="16"/>
      <c r="J799" s="16"/>
      <c r="K799" s="16"/>
      <c r="L799" s="16"/>
      <c r="M799" s="15"/>
      <c r="N799" s="16"/>
      <c r="O799" s="16"/>
      <c r="P799" s="16"/>
      <c r="Q799" s="16"/>
      <c r="R799" s="16"/>
      <c r="S799" s="16"/>
      <c r="T799" s="16"/>
      <c r="U799" s="16"/>
      <c r="V799" s="16"/>
    </row>
    <row r="800" spans="1:22" ht="13.2">
      <c r="A800" s="12"/>
      <c r="B800" s="46"/>
      <c r="C800" s="12"/>
      <c r="D800" s="15"/>
      <c r="E800" s="15"/>
      <c r="F800" s="15"/>
      <c r="G800" s="16"/>
      <c r="H800" s="16"/>
      <c r="I800" s="16"/>
      <c r="J800" s="16"/>
      <c r="K800" s="16"/>
      <c r="L800" s="16"/>
      <c r="M800" s="15"/>
      <c r="N800" s="16"/>
      <c r="O800" s="16"/>
      <c r="P800" s="16"/>
      <c r="Q800" s="16"/>
      <c r="R800" s="16"/>
      <c r="S800" s="16"/>
      <c r="T800" s="16"/>
      <c r="U800" s="16"/>
      <c r="V800" s="16"/>
    </row>
    <row r="801" spans="1:22" ht="13.2">
      <c r="A801" s="12"/>
      <c r="B801" s="46"/>
      <c r="C801" s="12"/>
      <c r="D801" s="15"/>
      <c r="E801" s="15"/>
      <c r="F801" s="15"/>
      <c r="G801" s="16"/>
      <c r="H801" s="16"/>
      <c r="I801" s="16"/>
      <c r="J801" s="16"/>
      <c r="K801" s="16"/>
      <c r="L801" s="16"/>
      <c r="M801" s="15"/>
      <c r="N801" s="16"/>
      <c r="O801" s="16"/>
      <c r="P801" s="16"/>
      <c r="Q801" s="16"/>
      <c r="R801" s="16"/>
      <c r="S801" s="16"/>
      <c r="T801" s="16"/>
      <c r="U801" s="16"/>
      <c r="V801" s="16"/>
    </row>
    <row r="802" spans="1:22" ht="13.2">
      <c r="A802" s="12"/>
      <c r="B802" s="46"/>
      <c r="C802" s="12"/>
      <c r="D802" s="15"/>
      <c r="E802" s="15"/>
      <c r="F802" s="15"/>
      <c r="G802" s="16"/>
      <c r="H802" s="16"/>
      <c r="I802" s="16"/>
      <c r="J802" s="16"/>
      <c r="K802" s="16"/>
      <c r="L802" s="16"/>
      <c r="M802" s="15"/>
      <c r="N802" s="16"/>
      <c r="O802" s="16"/>
      <c r="P802" s="16"/>
      <c r="Q802" s="16"/>
      <c r="R802" s="16"/>
      <c r="S802" s="16"/>
      <c r="T802" s="16"/>
      <c r="U802" s="16"/>
      <c r="V802" s="16"/>
    </row>
    <row r="803" spans="1:22" ht="13.2">
      <c r="A803" s="12"/>
      <c r="B803" s="46"/>
      <c r="C803" s="12"/>
      <c r="D803" s="15"/>
      <c r="E803" s="15"/>
      <c r="F803" s="15"/>
      <c r="G803" s="16"/>
      <c r="H803" s="16"/>
      <c r="I803" s="16"/>
      <c r="J803" s="16"/>
      <c r="K803" s="16"/>
      <c r="L803" s="16"/>
      <c r="M803" s="15"/>
      <c r="N803" s="16"/>
      <c r="O803" s="16"/>
      <c r="P803" s="16"/>
      <c r="Q803" s="16"/>
      <c r="R803" s="16"/>
      <c r="S803" s="16"/>
      <c r="T803" s="16"/>
      <c r="U803" s="16"/>
      <c r="V803" s="16"/>
    </row>
    <row r="804" spans="1:22" ht="13.2">
      <c r="A804" s="12"/>
      <c r="B804" s="46"/>
      <c r="C804" s="12"/>
      <c r="D804" s="15"/>
      <c r="E804" s="15"/>
      <c r="F804" s="15"/>
      <c r="G804" s="16"/>
      <c r="H804" s="16"/>
      <c r="I804" s="16"/>
      <c r="J804" s="16"/>
      <c r="K804" s="16"/>
      <c r="L804" s="16"/>
      <c r="M804" s="15"/>
      <c r="N804" s="16"/>
      <c r="O804" s="16"/>
      <c r="P804" s="16"/>
      <c r="Q804" s="16"/>
      <c r="R804" s="16"/>
      <c r="S804" s="16"/>
      <c r="T804" s="16"/>
      <c r="U804" s="16"/>
      <c r="V804" s="16"/>
    </row>
    <row r="805" spans="1:22" ht="13.2">
      <c r="A805" s="12"/>
      <c r="B805" s="46"/>
      <c r="C805" s="12"/>
      <c r="D805" s="15"/>
      <c r="E805" s="15"/>
      <c r="F805" s="15"/>
      <c r="G805" s="16"/>
      <c r="H805" s="16"/>
      <c r="I805" s="16"/>
      <c r="J805" s="16"/>
      <c r="K805" s="16"/>
      <c r="L805" s="16"/>
      <c r="M805" s="15"/>
      <c r="N805" s="16"/>
      <c r="O805" s="16"/>
      <c r="P805" s="16"/>
      <c r="Q805" s="16"/>
      <c r="R805" s="16"/>
      <c r="S805" s="16"/>
      <c r="T805" s="16"/>
      <c r="U805" s="16"/>
      <c r="V805" s="16"/>
    </row>
    <row r="806" spans="1:22" ht="13.2">
      <c r="A806" s="12"/>
      <c r="B806" s="46"/>
      <c r="C806" s="12"/>
      <c r="D806" s="15"/>
      <c r="E806" s="15"/>
      <c r="F806" s="15"/>
      <c r="G806" s="16"/>
      <c r="H806" s="16"/>
      <c r="I806" s="16"/>
      <c r="J806" s="16"/>
      <c r="K806" s="16"/>
      <c r="L806" s="16"/>
      <c r="M806" s="15"/>
      <c r="N806" s="16"/>
      <c r="O806" s="16"/>
      <c r="P806" s="16"/>
      <c r="Q806" s="16"/>
      <c r="R806" s="16"/>
      <c r="S806" s="16"/>
      <c r="T806" s="16"/>
      <c r="U806" s="16"/>
      <c r="V806" s="16"/>
    </row>
    <row r="807" spans="1:22" ht="13.2">
      <c r="A807" s="12"/>
      <c r="B807" s="46"/>
      <c r="C807" s="12"/>
      <c r="D807" s="15"/>
      <c r="E807" s="15"/>
      <c r="F807" s="15"/>
      <c r="G807" s="16"/>
      <c r="H807" s="16"/>
      <c r="I807" s="16"/>
      <c r="J807" s="16"/>
      <c r="K807" s="16"/>
      <c r="L807" s="16"/>
      <c r="M807" s="15"/>
      <c r="N807" s="16"/>
      <c r="O807" s="16"/>
      <c r="P807" s="16"/>
      <c r="Q807" s="16"/>
      <c r="R807" s="16"/>
      <c r="S807" s="16"/>
      <c r="T807" s="16"/>
      <c r="U807" s="16"/>
      <c r="V807" s="16"/>
    </row>
    <row r="808" spans="1:22" ht="13.2">
      <c r="A808" s="12"/>
      <c r="B808" s="46"/>
      <c r="C808" s="12"/>
      <c r="D808" s="15"/>
      <c r="E808" s="15"/>
      <c r="F808" s="15"/>
      <c r="G808" s="16"/>
      <c r="H808" s="16"/>
      <c r="I808" s="16"/>
      <c r="J808" s="16"/>
      <c r="K808" s="16"/>
      <c r="L808" s="16"/>
      <c r="M808" s="15"/>
      <c r="N808" s="16"/>
      <c r="O808" s="16"/>
      <c r="P808" s="16"/>
      <c r="Q808" s="16"/>
      <c r="R808" s="16"/>
      <c r="S808" s="16"/>
      <c r="T808" s="16"/>
      <c r="U808" s="16"/>
      <c r="V808" s="16"/>
    </row>
    <row r="809" spans="1:22" ht="13.2">
      <c r="A809" s="12"/>
      <c r="B809" s="46"/>
      <c r="C809" s="12"/>
      <c r="D809" s="15"/>
      <c r="E809" s="15"/>
      <c r="F809" s="15"/>
      <c r="G809" s="16"/>
      <c r="H809" s="16"/>
      <c r="I809" s="16"/>
      <c r="J809" s="16"/>
      <c r="K809" s="16"/>
      <c r="L809" s="16"/>
      <c r="M809" s="15"/>
      <c r="N809" s="16"/>
      <c r="O809" s="16"/>
      <c r="P809" s="16"/>
      <c r="Q809" s="16"/>
      <c r="R809" s="16"/>
      <c r="S809" s="16"/>
      <c r="T809" s="16"/>
      <c r="U809" s="16"/>
      <c r="V809" s="16"/>
    </row>
    <row r="810" spans="1:22" ht="13.2">
      <c r="A810" s="12"/>
      <c r="B810" s="46"/>
      <c r="C810" s="12"/>
      <c r="D810" s="15"/>
      <c r="E810" s="15"/>
      <c r="F810" s="15"/>
      <c r="G810" s="16"/>
      <c r="H810" s="16"/>
      <c r="I810" s="16"/>
      <c r="J810" s="16"/>
      <c r="K810" s="16"/>
      <c r="L810" s="16"/>
      <c r="M810" s="15"/>
      <c r="N810" s="16"/>
      <c r="O810" s="16"/>
      <c r="P810" s="16"/>
      <c r="Q810" s="16"/>
      <c r="R810" s="16"/>
      <c r="S810" s="16"/>
      <c r="T810" s="16"/>
      <c r="U810" s="16"/>
      <c r="V810" s="16"/>
    </row>
    <row r="811" spans="1:22" ht="13.2">
      <c r="A811" s="12"/>
      <c r="B811" s="46"/>
      <c r="C811" s="12"/>
      <c r="D811" s="15"/>
      <c r="E811" s="15"/>
      <c r="F811" s="15"/>
      <c r="G811" s="16"/>
      <c r="H811" s="16"/>
      <c r="I811" s="16"/>
      <c r="J811" s="16"/>
      <c r="K811" s="16"/>
      <c r="L811" s="16"/>
      <c r="M811" s="15"/>
      <c r="N811" s="16"/>
      <c r="O811" s="16"/>
      <c r="P811" s="16"/>
      <c r="Q811" s="16"/>
      <c r="R811" s="16"/>
      <c r="S811" s="16"/>
      <c r="T811" s="16"/>
      <c r="U811" s="16"/>
      <c r="V811" s="16"/>
    </row>
    <row r="812" spans="1:22" ht="13.2">
      <c r="A812" s="12"/>
      <c r="B812" s="46"/>
      <c r="C812" s="12"/>
      <c r="D812" s="15"/>
      <c r="E812" s="15"/>
      <c r="F812" s="15"/>
      <c r="G812" s="16"/>
      <c r="H812" s="16"/>
      <c r="I812" s="16"/>
      <c r="J812" s="16"/>
      <c r="K812" s="16"/>
      <c r="L812" s="16"/>
      <c r="M812" s="15"/>
      <c r="N812" s="16"/>
      <c r="O812" s="16"/>
      <c r="P812" s="16"/>
      <c r="Q812" s="16"/>
      <c r="R812" s="16"/>
      <c r="S812" s="16"/>
      <c r="T812" s="16"/>
      <c r="U812" s="16"/>
      <c r="V812" s="16"/>
    </row>
    <row r="813" spans="1:22" ht="13.2">
      <c r="A813" s="12"/>
      <c r="B813" s="46"/>
      <c r="C813" s="12"/>
      <c r="D813" s="15"/>
      <c r="E813" s="15"/>
      <c r="F813" s="15"/>
      <c r="G813" s="16"/>
      <c r="H813" s="16"/>
      <c r="I813" s="16"/>
      <c r="J813" s="16"/>
      <c r="K813" s="16"/>
      <c r="L813" s="16"/>
      <c r="M813" s="15"/>
      <c r="N813" s="16"/>
      <c r="O813" s="16"/>
      <c r="P813" s="16"/>
      <c r="Q813" s="16"/>
      <c r="R813" s="16"/>
      <c r="S813" s="16"/>
      <c r="T813" s="16"/>
      <c r="U813" s="16"/>
      <c r="V813" s="16"/>
    </row>
    <row r="814" spans="1:22" ht="13.2">
      <c r="A814" s="12"/>
      <c r="B814" s="46"/>
      <c r="C814" s="12"/>
      <c r="D814" s="15"/>
      <c r="E814" s="15"/>
      <c r="F814" s="15"/>
      <c r="G814" s="16"/>
      <c r="H814" s="16"/>
      <c r="I814" s="16"/>
      <c r="J814" s="16"/>
      <c r="K814" s="16"/>
      <c r="L814" s="16"/>
      <c r="M814" s="15"/>
      <c r="N814" s="16"/>
      <c r="O814" s="16"/>
      <c r="P814" s="16"/>
      <c r="Q814" s="16"/>
      <c r="R814" s="16"/>
      <c r="S814" s="16"/>
      <c r="T814" s="16"/>
      <c r="U814" s="16"/>
      <c r="V814" s="16"/>
    </row>
    <row r="815" spans="1:22" ht="13.2">
      <c r="A815" s="12"/>
      <c r="B815" s="46"/>
      <c r="C815" s="12"/>
      <c r="D815" s="15"/>
      <c r="E815" s="15"/>
      <c r="F815" s="15"/>
      <c r="G815" s="16"/>
      <c r="H815" s="16"/>
      <c r="I815" s="16"/>
      <c r="J815" s="16"/>
      <c r="K815" s="16"/>
      <c r="L815" s="16"/>
      <c r="M815" s="15"/>
      <c r="N815" s="16"/>
      <c r="O815" s="16"/>
      <c r="P815" s="16"/>
      <c r="Q815" s="16"/>
      <c r="R815" s="16"/>
      <c r="S815" s="16"/>
      <c r="T815" s="16"/>
      <c r="U815" s="16"/>
      <c r="V815" s="16"/>
    </row>
    <row r="816" spans="1:22" ht="13.2">
      <c r="A816" s="12"/>
      <c r="B816" s="46"/>
      <c r="C816" s="12"/>
      <c r="D816" s="15"/>
      <c r="E816" s="15"/>
      <c r="F816" s="15"/>
      <c r="G816" s="16"/>
      <c r="H816" s="16"/>
      <c r="I816" s="16"/>
      <c r="J816" s="16"/>
      <c r="K816" s="16"/>
      <c r="L816" s="16"/>
      <c r="M816" s="15"/>
      <c r="N816" s="16"/>
      <c r="O816" s="16"/>
      <c r="P816" s="16"/>
      <c r="Q816" s="16"/>
      <c r="R816" s="16"/>
      <c r="S816" s="16"/>
      <c r="T816" s="16"/>
      <c r="U816" s="16"/>
      <c r="V816" s="16"/>
    </row>
    <row r="817" spans="1:22" ht="13.2">
      <c r="A817" s="12"/>
      <c r="B817" s="46"/>
      <c r="C817" s="12"/>
      <c r="D817" s="15"/>
      <c r="E817" s="15"/>
      <c r="F817" s="15"/>
      <c r="G817" s="16"/>
      <c r="H817" s="16"/>
      <c r="I817" s="16"/>
      <c r="J817" s="16"/>
      <c r="K817" s="16"/>
      <c r="L817" s="16"/>
      <c r="M817" s="15"/>
      <c r="N817" s="16"/>
      <c r="O817" s="16"/>
      <c r="P817" s="16"/>
      <c r="Q817" s="16"/>
      <c r="R817" s="16"/>
      <c r="S817" s="16"/>
      <c r="T817" s="16"/>
      <c r="U817" s="16"/>
      <c r="V817" s="16"/>
    </row>
    <row r="818" spans="1:22" ht="13.2">
      <c r="A818" s="12"/>
      <c r="B818" s="46"/>
      <c r="C818" s="12"/>
      <c r="D818" s="15"/>
      <c r="E818" s="15"/>
      <c r="F818" s="15"/>
      <c r="G818" s="16"/>
      <c r="H818" s="16"/>
      <c r="I818" s="16"/>
      <c r="J818" s="16"/>
      <c r="K818" s="16"/>
      <c r="L818" s="16"/>
      <c r="M818" s="15"/>
      <c r="N818" s="16"/>
      <c r="O818" s="16"/>
      <c r="P818" s="16"/>
      <c r="Q818" s="16"/>
      <c r="R818" s="16"/>
      <c r="S818" s="16"/>
      <c r="T818" s="16"/>
      <c r="U818" s="16"/>
      <c r="V818" s="16"/>
    </row>
    <row r="819" spans="1:22" ht="13.2">
      <c r="A819" s="12"/>
      <c r="B819" s="46"/>
      <c r="C819" s="12"/>
      <c r="D819" s="15"/>
      <c r="E819" s="15"/>
      <c r="F819" s="15"/>
      <c r="G819" s="16"/>
      <c r="H819" s="16"/>
      <c r="I819" s="16"/>
      <c r="J819" s="16"/>
      <c r="K819" s="16"/>
      <c r="L819" s="16"/>
      <c r="M819" s="15"/>
      <c r="N819" s="16"/>
      <c r="O819" s="16"/>
      <c r="P819" s="16"/>
      <c r="Q819" s="16"/>
      <c r="R819" s="16"/>
      <c r="S819" s="16"/>
      <c r="T819" s="16"/>
      <c r="U819" s="16"/>
      <c r="V819" s="16"/>
    </row>
    <row r="820" spans="1:22" ht="13.2">
      <c r="A820" s="12"/>
      <c r="B820" s="46"/>
      <c r="C820" s="12"/>
      <c r="D820" s="15"/>
      <c r="E820" s="15"/>
      <c r="F820" s="15"/>
      <c r="G820" s="16"/>
      <c r="H820" s="16"/>
      <c r="I820" s="16"/>
      <c r="J820" s="16"/>
      <c r="K820" s="16"/>
      <c r="L820" s="16"/>
      <c r="M820" s="15"/>
      <c r="N820" s="16"/>
      <c r="O820" s="16"/>
      <c r="P820" s="16"/>
      <c r="Q820" s="16"/>
      <c r="R820" s="16"/>
      <c r="S820" s="16"/>
      <c r="T820" s="16"/>
      <c r="U820" s="16"/>
      <c r="V820" s="16"/>
    </row>
    <row r="821" spans="1:22" ht="13.2">
      <c r="A821" s="12"/>
      <c r="B821" s="46"/>
      <c r="C821" s="12"/>
      <c r="D821" s="15"/>
      <c r="E821" s="15"/>
      <c r="F821" s="15"/>
      <c r="G821" s="16"/>
      <c r="H821" s="16"/>
      <c r="I821" s="16"/>
      <c r="J821" s="16"/>
      <c r="K821" s="16"/>
      <c r="L821" s="16"/>
      <c r="M821" s="15"/>
      <c r="N821" s="16"/>
      <c r="O821" s="16"/>
      <c r="P821" s="16"/>
      <c r="Q821" s="16"/>
      <c r="R821" s="16"/>
      <c r="S821" s="16"/>
      <c r="T821" s="16"/>
      <c r="U821" s="16"/>
      <c r="V821" s="16"/>
    </row>
    <row r="822" spans="1:22" ht="13.2">
      <c r="A822" s="12"/>
      <c r="B822" s="46"/>
      <c r="C822" s="12"/>
      <c r="D822" s="15"/>
      <c r="E822" s="15"/>
      <c r="F822" s="15"/>
      <c r="G822" s="16"/>
      <c r="H822" s="16"/>
      <c r="I822" s="16"/>
      <c r="J822" s="16"/>
      <c r="K822" s="16"/>
      <c r="L822" s="16"/>
      <c r="M822" s="15"/>
      <c r="N822" s="16"/>
      <c r="O822" s="16"/>
      <c r="P822" s="16"/>
      <c r="Q822" s="16"/>
      <c r="R822" s="16"/>
      <c r="S822" s="16"/>
      <c r="T822" s="16"/>
      <c r="U822" s="16"/>
      <c r="V822" s="16"/>
    </row>
    <row r="823" spans="1:22" ht="13.2">
      <c r="A823" s="12"/>
      <c r="B823" s="46"/>
      <c r="C823" s="12"/>
      <c r="D823" s="15"/>
      <c r="E823" s="15"/>
      <c r="F823" s="15"/>
      <c r="G823" s="16"/>
      <c r="H823" s="16"/>
      <c r="I823" s="16"/>
      <c r="J823" s="16"/>
      <c r="K823" s="16"/>
      <c r="L823" s="16"/>
      <c r="M823" s="15"/>
      <c r="N823" s="16"/>
      <c r="O823" s="16"/>
      <c r="P823" s="16"/>
      <c r="Q823" s="16"/>
      <c r="R823" s="16"/>
      <c r="S823" s="16"/>
      <c r="T823" s="16"/>
      <c r="U823" s="16"/>
      <c r="V823" s="16"/>
    </row>
    <row r="824" spans="1:22" ht="13.2">
      <c r="A824" s="12"/>
      <c r="B824" s="46"/>
      <c r="C824" s="12"/>
      <c r="D824" s="15"/>
      <c r="E824" s="15"/>
      <c r="F824" s="15"/>
      <c r="G824" s="16"/>
      <c r="H824" s="16"/>
      <c r="I824" s="16"/>
      <c r="J824" s="16"/>
      <c r="K824" s="16"/>
      <c r="L824" s="16"/>
      <c r="M824" s="15"/>
      <c r="N824" s="16"/>
      <c r="O824" s="16"/>
      <c r="P824" s="16"/>
      <c r="Q824" s="16"/>
      <c r="R824" s="16"/>
      <c r="S824" s="16"/>
      <c r="T824" s="16"/>
      <c r="U824" s="16"/>
      <c r="V824" s="16"/>
    </row>
    <row r="825" spans="1:22" ht="13.2">
      <c r="A825" s="12"/>
      <c r="B825" s="46"/>
      <c r="C825" s="12"/>
      <c r="D825" s="15"/>
      <c r="E825" s="15"/>
      <c r="F825" s="15"/>
      <c r="G825" s="16"/>
      <c r="H825" s="16"/>
      <c r="I825" s="16"/>
      <c r="J825" s="16"/>
      <c r="K825" s="16"/>
      <c r="L825" s="16"/>
      <c r="M825" s="15"/>
      <c r="N825" s="16"/>
      <c r="O825" s="16"/>
      <c r="P825" s="16"/>
      <c r="Q825" s="16"/>
      <c r="R825" s="16"/>
      <c r="S825" s="16"/>
      <c r="T825" s="16"/>
      <c r="U825" s="16"/>
      <c r="V825" s="16"/>
    </row>
    <row r="826" spans="1:22" ht="13.2">
      <c r="A826" s="12"/>
      <c r="B826" s="46"/>
      <c r="C826" s="12"/>
      <c r="D826" s="15"/>
      <c r="E826" s="15"/>
      <c r="F826" s="15"/>
      <c r="G826" s="16"/>
      <c r="H826" s="16"/>
      <c r="I826" s="16"/>
      <c r="J826" s="16"/>
      <c r="K826" s="16"/>
      <c r="L826" s="16"/>
      <c r="M826" s="15"/>
      <c r="N826" s="16"/>
      <c r="O826" s="16"/>
      <c r="P826" s="16"/>
      <c r="Q826" s="16"/>
      <c r="R826" s="16"/>
      <c r="S826" s="16"/>
      <c r="T826" s="16"/>
      <c r="U826" s="16"/>
      <c r="V826" s="16"/>
    </row>
    <row r="827" spans="1:22" ht="13.2">
      <c r="A827" s="12"/>
      <c r="B827" s="46"/>
      <c r="C827" s="12"/>
      <c r="D827" s="15"/>
      <c r="E827" s="15"/>
      <c r="F827" s="15"/>
      <c r="G827" s="16"/>
      <c r="H827" s="16"/>
      <c r="I827" s="16"/>
      <c r="J827" s="16"/>
      <c r="K827" s="16"/>
      <c r="L827" s="16"/>
      <c r="M827" s="15"/>
      <c r="N827" s="16"/>
      <c r="O827" s="16"/>
      <c r="P827" s="16"/>
      <c r="Q827" s="16"/>
      <c r="R827" s="16"/>
      <c r="S827" s="16"/>
      <c r="T827" s="16"/>
      <c r="U827" s="16"/>
      <c r="V827" s="16"/>
    </row>
    <row r="828" spans="1:22" ht="13.2">
      <c r="A828" s="12"/>
      <c r="B828" s="46"/>
      <c r="C828" s="12"/>
      <c r="D828" s="15"/>
      <c r="E828" s="15"/>
      <c r="F828" s="15"/>
      <c r="G828" s="16"/>
      <c r="H828" s="16"/>
      <c r="I828" s="16"/>
      <c r="J828" s="16"/>
      <c r="K828" s="16"/>
      <c r="L828" s="16"/>
      <c r="M828" s="15"/>
      <c r="N828" s="16"/>
      <c r="O828" s="16"/>
      <c r="P828" s="16"/>
      <c r="Q828" s="16"/>
      <c r="R828" s="16"/>
      <c r="S828" s="16"/>
      <c r="T828" s="16"/>
      <c r="U828" s="16"/>
      <c r="V828" s="16"/>
    </row>
    <row r="829" spans="1:22" ht="13.2">
      <c r="A829" s="12"/>
      <c r="B829" s="46"/>
      <c r="C829" s="12"/>
      <c r="D829" s="15"/>
      <c r="E829" s="15"/>
      <c r="F829" s="15"/>
      <c r="G829" s="16"/>
      <c r="H829" s="16"/>
      <c r="I829" s="16"/>
      <c r="J829" s="16"/>
      <c r="K829" s="16"/>
      <c r="L829" s="16"/>
      <c r="M829" s="15"/>
      <c r="N829" s="16"/>
      <c r="O829" s="16"/>
      <c r="P829" s="16"/>
      <c r="Q829" s="16"/>
      <c r="R829" s="16"/>
      <c r="S829" s="16"/>
      <c r="T829" s="16"/>
      <c r="U829" s="16"/>
      <c r="V829" s="16"/>
    </row>
    <row r="830" spans="1:22" ht="13.2">
      <c r="A830" s="12"/>
      <c r="B830" s="46"/>
      <c r="C830" s="12"/>
      <c r="D830" s="15"/>
      <c r="E830" s="15"/>
      <c r="F830" s="15"/>
      <c r="G830" s="16"/>
      <c r="H830" s="16"/>
      <c r="I830" s="16"/>
      <c r="J830" s="16"/>
      <c r="K830" s="16"/>
      <c r="L830" s="16"/>
      <c r="M830" s="15"/>
      <c r="N830" s="16"/>
      <c r="O830" s="16"/>
      <c r="P830" s="16"/>
      <c r="Q830" s="16"/>
      <c r="R830" s="16"/>
      <c r="S830" s="16"/>
      <c r="T830" s="16"/>
      <c r="U830" s="16"/>
      <c r="V830" s="16"/>
    </row>
    <row r="831" spans="1:22" ht="13.2">
      <c r="A831" s="12"/>
      <c r="B831" s="46"/>
      <c r="C831" s="12"/>
      <c r="D831" s="15"/>
      <c r="E831" s="15"/>
      <c r="F831" s="15"/>
      <c r="G831" s="16"/>
      <c r="H831" s="16"/>
      <c r="I831" s="16"/>
      <c r="J831" s="16"/>
      <c r="K831" s="16"/>
      <c r="L831" s="16"/>
      <c r="M831" s="15"/>
      <c r="N831" s="16"/>
      <c r="O831" s="16"/>
      <c r="P831" s="16"/>
      <c r="Q831" s="16"/>
      <c r="R831" s="16"/>
      <c r="S831" s="16"/>
      <c r="T831" s="16"/>
      <c r="U831" s="16"/>
      <c r="V831" s="16"/>
    </row>
    <row r="832" spans="1:22" ht="13.2">
      <c r="A832" s="12"/>
      <c r="B832" s="46"/>
      <c r="C832" s="12"/>
      <c r="D832" s="15"/>
      <c r="E832" s="15"/>
      <c r="F832" s="15"/>
      <c r="G832" s="16"/>
      <c r="H832" s="16"/>
      <c r="I832" s="16"/>
      <c r="J832" s="16"/>
      <c r="K832" s="16"/>
      <c r="L832" s="16"/>
      <c r="M832" s="15"/>
      <c r="N832" s="16"/>
      <c r="O832" s="16"/>
      <c r="P832" s="16"/>
      <c r="Q832" s="16"/>
      <c r="R832" s="16"/>
      <c r="S832" s="16"/>
      <c r="T832" s="16"/>
      <c r="U832" s="16"/>
      <c r="V832" s="16"/>
    </row>
    <row r="833" spans="1:22" ht="13.2">
      <c r="A833" s="12"/>
      <c r="B833" s="46"/>
      <c r="C833" s="12"/>
      <c r="D833" s="15"/>
      <c r="E833" s="15"/>
      <c r="F833" s="15"/>
      <c r="G833" s="16"/>
      <c r="H833" s="16"/>
      <c r="I833" s="16"/>
      <c r="J833" s="16"/>
      <c r="K833" s="16"/>
      <c r="L833" s="16"/>
      <c r="M833" s="15"/>
      <c r="N833" s="16"/>
      <c r="O833" s="16"/>
      <c r="P833" s="16"/>
      <c r="Q833" s="16"/>
      <c r="R833" s="16"/>
      <c r="S833" s="16"/>
      <c r="T833" s="16"/>
      <c r="U833" s="16"/>
      <c r="V833" s="16"/>
    </row>
    <row r="834" spans="1:22" ht="13.2">
      <c r="A834" s="12"/>
      <c r="B834" s="46"/>
      <c r="C834" s="12"/>
      <c r="D834" s="15"/>
      <c r="E834" s="15"/>
      <c r="F834" s="15"/>
      <c r="G834" s="16"/>
      <c r="H834" s="16"/>
      <c r="I834" s="16"/>
      <c r="J834" s="16"/>
      <c r="K834" s="16"/>
      <c r="L834" s="16"/>
      <c r="M834" s="15"/>
      <c r="N834" s="16"/>
      <c r="O834" s="16"/>
      <c r="P834" s="16"/>
      <c r="Q834" s="16"/>
      <c r="R834" s="16"/>
      <c r="S834" s="16"/>
      <c r="T834" s="16"/>
      <c r="U834" s="16"/>
      <c r="V834" s="16"/>
    </row>
    <row r="835" spans="1:22" ht="13.2">
      <c r="A835" s="12"/>
      <c r="B835" s="46"/>
      <c r="C835" s="12"/>
      <c r="D835" s="15"/>
      <c r="E835" s="15"/>
      <c r="F835" s="15"/>
      <c r="G835" s="16"/>
      <c r="H835" s="16"/>
      <c r="I835" s="16"/>
      <c r="J835" s="16"/>
      <c r="K835" s="16"/>
      <c r="L835" s="16"/>
      <c r="M835" s="15"/>
      <c r="N835" s="16"/>
      <c r="O835" s="16"/>
      <c r="P835" s="16"/>
      <c r="Q835" s="16"/>
      <c r="R835" s="16"/>
      <c r="S835" s="16"/>
      <c r="T835" s="16"/>
      <c r="U835" s="16"/>
      <c r="V835" s="16"/>
    </row>
    <row r="836" spans="1:22" ht="13.2">
      <c r="A836" s="12"/>
      <c r="B836" s="46"/>
      <c r="C836" s="12"/>
      <c r="D836" s="15"/>
      <c r="E836" s="15"/>
      <c r="F836" s="15"/>
      <c r="G836" s="16"/>
      <c r="H836" s="16"/>
      <c r="I836" s="16"/>
      <c r="J836" s="16"/>
      <c r="K836" s="16"/>
      <c r="L836" s="16"/>
      <c r="M836" s="15"/>
      <c r="N836" s="16"/>
      <c r="O836" s="16"/>
      <c r="P836" s="16"/>
      <c r="Q836" s="16"/>
      <c r="R836" s="16"/>
      <c r="S836" s="16"/>
      <c r="T836" s="16"/>
      <c r="U836" s="16"/>
      <c r="V836" s="16"/>
    </row>
    <row r="837" spans="1:22" ht="13.2">
      <c r="A837" s="12"/>
      <c r="B837" s="46"/>
      <c r="C837" s="12"/>
      <c r="D837" s="15"/>
      <c r="E837" s="15"/>
      <c r="F837" s="15"/>
      <c r="G837" s="16"/>
      <c r="H837" s="16"/>
      <c r="I837" s="16"/>
      <c r="J837" s="16"/>
      <c r="K837" s="16"/>
      <c r="L837" s="16"/>
      <c r="M837" s="15"/>
      <c r="N837" s="16"/>
      <c r="O837" s="16"/>
      <c r="P837" s="16"/>
      <c r="Q837" s="16"/>
      <c r="R837" s="16"/>
      <c r="S837" s="16"/>
      <c r="T837" s="16"/>
      <c r="U837" s="16"/>
      <c r="V837" s="16"/>
    </row>
    <row r="838" spans="1:22" ht="13.2">
      <c r="A838" s="12"/>
      <c r="B838" s="46"/>
      <c r="C838" s="12"/>
      <c r="D838" s="15"/>
      <c r="E838" s="15"/>
      <c r="F838" s="15"/>
      <c r="G838" s="16"/>
      <c r="H838" s="16"/>
      <c r="I838" s="16"/>
      <c r="J838" s="16"/>
      <c r="K838" s="16"/>
      <c r="L838" s="16"/>
      <c r="M838" s="15"/>
      <c r="N838" s="16"/>
      <c r="O838" s="16"/>
      <c r="P838" s="16"/>
      <c r="Q838" s="16"/>
      <c r="R838" s="16"/>
      <c r="S838" s="16"/>
      <c r="T838" s="16"/>
      <c r="U838" s="16"/>
      <c r="V838" s="16"/>
    </row>
    <row r="839" spans="1:22" ht="13.2">
      <c r="A839" s="12"/>
      <c r="B839" s="46"/>
      <c r="C839" s="12"/>
      <c r="D839" s="15"/>
      <c r="E839" s="15"/>
      <c r="F839" s="15"/>
      <c r="G839" s="16"/>
      <c r="H839" s="16"/>
      <c r="I839" s="16"/>
      <c r="J839" s="16"/>
      <c r="K839" s="16"/>
      <c r="L839" s="16"/>
      <c r="M839" s="15"/>
      <c r="N839" s="16"/>
      <c r="O839" s="16"/>
      <c r="P839" s="16"/>
      <c r="Q839" s="16"/>
      <c r="R839" s="16"/>
      <c r="S839" s="16"/>
      <c r="T839" s="16"/>
      <c r="U839" s="16"/>
      <c r="V839" s="16"/>
    </row>
    <row r="840" spans="1:22" ht="13.2">
      <c r="A840" s="12"/>
      <c r="B840" s="46"/>
      <c r="C840" s="12"/>
      <c r="D840" s="15"/>
      <c r="E840" s="15"/>
      <c r="F840" s="15"/>
      <c r="G840" s="16"/>
      <c r="H840" s="16"/>
      <c r="I840" s="16"/>
      <c r="J840" s="16"/>
      <c r="K840" s="16"/>
      <c r="L840" s="16"/>
      <c r="M840" s="15"/>
      <c r="N840" s="16"/>
      <c r="O840" s="16"/>
      <c r="P840" s="16"/>
      <c r="Q840" s="16"/>
      <c r="R840" s="16"/>
      <c r="S840" s="16"/>
      <c r="T840" s="16"/>
      <c r="U840" s="16"/>
      <c r="V840" s="16"/>
    </row>
    <row r="841" spans="1:22" ht="13.2">
      <c r="A841" s="12"/>
      <c r="B841" s="46"/>
      <c r="C841" s="12"/>
      <c r="D841" s="15"/>
      <c r="E841" s="15"/>
      <c r="F841" s="15"/>
      <c r="G841" s="16"/>
      <c r="H841" s="16"/>
      <c r="I841" s="16"/>
      <c r="J841" s="16"/>
      <c r="K841" s="16"/>
      <c r="L841" s="16"/>
      <c r="M841" s="15"/>
      <c r="N841" s="16"/>
      <c r="O841" s="16"/>
      <c r="P841" s="16"/>
      <c r="Q841" s="16"/>
      <c r="R841" s="16"/>
      <c r="S841" s="16"/>
      <c r="T841" s="16"/>
      <c r="U841" s="16"/>
      <c r="V841" s="16"/>
    </row>
    <row r="842" spans="1:22" ht="13.2">
      <c r="A842" s="12"/>
      <c r="B842" s="46"/>
      <c r="C842" s="12"/>
      <c r="D842" s="15"/>
      <c r="E842" s="15"/>
      <c r="F842" s="15"/>
      <c r="G842" s="16"/>
      <c r="H842" s="16"/>
      <c r="I842" s="16"/>
      <c r="J842" s="16"/>
      <c r="K842" s="16"/>
      <c r="L842" s="16"/>
      <c r="M842" s="15"/>
      <c r="N842" s="16"/>
      <c r="O842" s="16"/>
      <c r="P842" s="16"/>
      <c r="Q842" s="16"/>
      <c r="R842" s="16"/>
      <c r="S842" s="16"/>
      <c r="T842" s="16"/>
      <c r="U842" s="16"/>
      <c r="V842" s="16"/>
    </row>
    <row r="843" spans="1:22" ht="13.2">
      <c r="A843" s="12"/>
      <c r="B843" s="46"/>
      <c r="C843" s="12"/>
      <c r="D843" s="15"/>
      <c r="E843" s="15"/>
      <c r="F843" s="15"/>
      <c r="G843" s="16"/>
      <c r="H843" s="16"/>
      <c r="I843" s="16"/>
      <c r="J843" s="16"/>
      <c r="K843" s="16"/>
      <c r="L843" s="16"/>
      <c r="M843" s="15"/>
      <c r="N843" s="16"/>
      <c r="O843" s="16"/>
      <c r="P843" s="16"/>
      <c r="Q843" s="16"/>
      <c r="R843" s="16"/>
      <c r="S843" s="16"/>
      <c r="T843" s="16"/>
      <c r="U843" s="16"/>
      <c r="V843" s="16"/>
    </row>
    <row r="844" spans="1:22" ht="13.2">
      <c r="A844" s="12"/>
      <c r="B844" s="46"/>
      <c r="C844" s="12"/>
      <c r="D844" s="15"/>
      <c r="E844" s="15"/>
      <c r="F844" s="15"/>
      <c r="G844" s="16"/>
      <c r="H844" s="16"/>
      <c r="I844" s="16"/>
      <c r="J844" s="16"/>
      <c r="K844" s="16"/>
      <c r="L844" s="16"/>
      <c r="M844" s="15"/>
      <c r="N844" s="16"/>
      <c r="O844" s="16"/>
      <c r="P844" s="16"/>
      <c r="Q844" s="16"/>
      <c r="R844" s="16"/>
      <c r="S844" s="16"/>
      <c r="T844" s="16"/>
      <c r="U844" s="16"/>
      <c r="V844" s="16"/>
    </row>
    <row r="845" spans="1:22" ht="13.2">
      <c r="A845" s="12"/>
      <c r="B845" s="46"/>
      <c r="C845" s="12"/>
      <c r="D845" s="15"/>
      <c r="E845" s="15"/>
      <c r="F845" s="15"/>
      <c r="G845" s="16"/>
      <c r="H845" s="16"/>
      <c r="I845" s="16"/>
      <c r="J845" s="16"/>
      <c r="K845" s="16"/>
      <c r="L845" s="16"/>
      <c r="M845" s="15"/>
      <c r="N845" s="16"/>
      <c r="O845" s="16"/>
      <c r="P845" s="16"/>
      <c r="Q845" s="16"/>
      <c r="R845" s="16"/>
      <c r="S845" s="16"/>
      <c r="T845" s="16"/>
      <c r="U845" s="16"/>
      <c r="V845" s="16"/>
    </row>
    <row r="846" spans="1:22" ht="13.2">
      <c r="A846" s="12"/>
      <c r="B846" s="46"/>
      <c r="C846" s="12"/>
      <c r="D846" s="15"/>
      <c r="E846" s="15"/>
      <c r="F846" s="15"/>
      <c r="G846" s="16"/>
      <c r="H846" s="16"/>
      <c r="I846" s="16"/>
      <c r="J846" s="16"/>
      <c r="K846" s="16"/>
      <c r="L846" s="16"/>
      <c r="M846" s="15"/>
      <c r="N846" s="16"/>
      <c r="O846" s="16"/>
      <c r="P846" s="16"/>
      <c r="Q846" s="16"/>
      <c r="R846" s="16"/>
      <c r="S846" s="16"/>
      <c r="T846" s="16"/>
      <c r="U846" s="16"/>
      <c r="V846" s="16"/>
    </row>
    <row r="847" spans="1:22" ht="13.2">
      <c r="A847" s="12"/>
      <c r="B847" s="46"/>
      <c r="C847" s="12"/>
      <c r="D847" s="15"/>
      <c r="E847" s="15"/>
      <c r="F847" s="15"/>
      <c r="G847" s="16"/>
      <c r="H847" s="16"/>
      <c r="I847" s="16"/>
      <c r="J847" s="16"/>
      <c r="K847" s="16"/>
      <c r="L847" s="16"/>
      <c r="M847" s="15"/>
      <c r="N847" s="16"/>
      <c r="O847" s="16"/>
      <c r="P847" s="16"/>
      <c r="Q847" s="16"/>
      <c r="R847" s="16"/>
      <c r="S847" s="16"/>
      <c r="T847" s="16"/>
      <c r="U847" s="16"/>
      <c r="V847" s="16"/>
    </row>
    <row r="848" spans="1:22" ht="13.2">
      <c r="A848" s="12"/>
      <c r="B848" s="46"/>
      <c r="C848" s="12"/>
      <c r="D848" s="15"/>
      <c r="E848" s="15"/>
      <c r="F848" s="15"/>
      <c r="G848" s="16"/>
      <c r="H848" s="16"/>
      <c r="I848" s="16"/>
      <c r="J848" s="16"/>
      <c r="K848" s="16"/>
      <c r="L848" s="16"/>
      <c r="M848" s="15"/>
      <c r="N848" s="16"/>
      <c r="O848" s="16"/>
      <c r="P848" s="16"/>
      <c r="Q848" s="16"/>
      <c r="R848" s="16"/>
      <c r="S848" s="16"/>
      <c r="T848" s="16"/>
      <c r="U848" s="16"/>
      <c r="V848" s="16"/>
    </row>
    <row r="849" spans="1:22" ht="13.2">
      <c r="A849" s="12"/>
      <c r="B849" s="46"/>
      <c r="C849" s="12"/>
      <c r="D849" s="15"/>
      <c r="E849" s="15"/>
      <c r="F849" s="15"/>
      <c r="G849" s="16"/>
      <c r="H849" s="16"/>
      <c r="I849" s="16"/>
      <c r="J849" s="16"/>
      <c r="K849" s="16"/>
      <c r="L849" s="16"/>
      <c r="M849" s="15"/>
      <c r="N849" s="16"/>
      <c r="O849" s="16"/>
      <c r="P849" s="16"/>
      <c r="Q849" s="16"/>
      <c r="R849" s="16"/>
      <c r="S849" s="16"/>
      <c r="T849" s="16"/>
      <c r="U849" s="16"/>
      <c r="V849" s="16"/>
    </row>
    <row r="850" spans="1:22" ht="13.2">
      <c r="A850" s="12"/>
      <c r="B850" s="46"/>
      <c r="C850" s="12"/>
      <c r="D850" s="15"/>
      <c r="E850" s="15"/>
      <c r="F850" s="15"/>
      <c r="G850" s="16"/>
      <c r="H850" s="16"/>
      <c r="I850" s="16"/>
      <c r="J850" s="16"/>
      <c r="K850" s="16"/>
      <c r="L850" s="16"/>
      <c r="M850" s="15"/>
      <c r="N850" s="16"/>
      <c r="O850" s="16"/>
      <c r="P850" s="16"/>
      <c r="Q850" s="16"/>
      <c r="R850" s="16"/>
      <c r="S850" s="16"/>
      <c r="T850" s="16"/>
      <c r="U850" s="16"/>
      <c r="V850" s="16"/>
    </row>
    <row r="851" spans="1:22" ht="13.2">
      <c r="A851" s="12"/>
      <c r="B851" s="46"/>
      <c r="C851" s="12"/>
      <c r="D851" s="15"/>
      <c r="E851" s="15"/>
      <c r="F851" s="15"/>
      <c r="G851" s="16"/>
      <c r="H851" s="16"/>
      <c r="I851" s="16"/>
      <c r="J851" s="16"/>
      <c r="K851" s="16"/>
      <c r="L851" s="16"/>
      <c r="M851" s="15"/>
      <c r="N851" s="16"/>
      <c r="O851" s="16"/>
      <c r="P851" s="16"/>
      <c r="Q851" s="16"/>
      <c r="R851" s="16"/>
      <c r="S851" s="16"/>
      <c r="T851" s="16"/>
      <c r="U851" s="16"/>
      <c r="V851" s="16"/>
    </row>
    <row r="852" spans="1:22" ht="13.2">
      <c r="A852" s="12"/>
      <c r="B852" s="46"/>
      <c r="C852" s="12"/>
      <c r="D852" s="15"/>
      <c r="E852" s="15"/>
      <c r="F852" s="15"/>
      <c r="G852" s="16"/>
      <c r="H852" s="16"/>
      <c r="I852" s="16"/>
      <c r="J852" s="16"/>
      <c r="K852" s="16"/>
      <c r="L852" s="16"/>
      <c r="M852" s="15"/>
      <c r="N852" s="16"/>
      <c r="O852" s="16"/>
      <c r="P852" s="16"/>
      <c r="Q852" s="16"/>
      <c r="R852" s="16"/>
      <c r="S852" s="16"/>
      <c r="T852" s="16"/>
      <c r="U852" s="16"/>
      <c r="V852" s="16"/>
    </row>
    <row r="853" spans="1:22" ht="13.2">
      <c r="A853" s="12"/>
      <c r="B853" s="46"/>
      <c r="C853" s="12"/>
      <c r="D853" s="15"/>
      <c r="E853" s="15"/>
      <c r="F853" s="15"/>
      <c r="G853" s="16"/>
      <c r="H853" s="16"/>
      <c r="I853" s="16"/>
      <c r="J853" s="16"/>
      <c r="K853" s="16"/>
      <c r="L853" s="16"/>
      <c r="M853" s="15"/>
      <c r="N853" s="16"/>
      <c r="O853" s="16"/>
      <c r="P853" s="16"/>
      <c r="Q853" s="16"/>
      <c r="R853" s="16"/>
      <c r="S853" s="16"/>
      <c r="T853" s="16"/>
      <c r="U853" s="16"/>
      <c r="V853" s="16"/>
    </row>
    <row r="854" spans="1:22" ht="13.2">
      <c r="A854" s="12"/>
      <c r="B854" s="46"/>
      <c r="C854" s="12"/>
      <c r="D854" s="15"/>
      <c r="E854" s="15"/>
      <c r="F854" s="15"/>
      <c r="G854" s="16"/>
      <c r="H854" s="16"/>
      <c r="I854" s="16"/>
      <c r="J854" s="16"/>
      <c r="K854" s="16"/>
      <c r="L854" s="16"/>
      <c r="M854" s="15"/>
      <c r="N854" s="16"/>
      <c r="O854" s="16"/>
      <c r="P854" s="16"/>
      <c r="Q854" s="16"/>
      <c r="R854" s="16"/>
      <c r="S854" s="16"/>
      <c r="T854" s="16"/>
      <c r="U854" s="16"/>
      <c r="V854" s="16"/>
    </row>
    <row r="855" spans="1:22" ht="13.2">
      <c r="A855" s="12"/>
      <c r="B855" s="46"/>
      <c r="C855" s="12"/>
      <c r="D855" s="15"/>
      <c r="E855" s="15"/>
      <c r="F855" s="15"/>
      <c r="G855" s="16"/>
      <c r="H855" s="16"/>
      <c r="I855" s="16"/>
      <c r="J855" s="16"/>
      <c r="K855" s="16"/>
      <c r="L855" s="16"/>
      <c r="M855" s="15"/>
      <c r="N855" s="16"/>
      <c r="O855" s="16"/>
      <c r="P855" s="16"/>
      <c r="Q855" s="16"/>
      <c r="R855" s="16"/>
      <c r="S855" s="16"/>
      <c r="T855" s="16"/>
      <c r="U855" s="16"/>
      <c r="V855" s="16"/>
    </row>
    <row r="856" spans="1:22" ht="13.2">
      <c r="A856" s="12"/>
      <c r="B856" s="46"/>
      <c r="C856" s="12"/>
      <c r="D856" s="15"/>
      <c r="E856" s="15"/>
      <c r="F856" s="15"/>
      <c r="G856" s="16"/>
      <c r="H856" s="16"/>
      <c r="I856" s="16"/>
      <c r="J856" s="16"/>
      <c r="K856" s="16"/>
      <c r="L856" s="16"/>
      <c r="M856" s="15"/>
      <c r="N856" s="16"/>
      <c r="O856" s="16"/>
      <c r="P856" s="16"/>
      <c r="Q856" s="16"/>
      <c r="R856" s="16"/>
      <c r="S856" s="16"/>
      <c r="T856" s="16"/>
      <c r="U856" s="16"/>
      <c r="V856" s="16"/>
    </row>
    <row r="857" spans="1:22" ht="13.2">
      <c r="A857" s="12"/>
      <c r="B857" s="46"/>
      <c r="C857" s="12"/>
      <c r="D857" s="15"/>
      <c r="E857" s="15"/>
      <c r="F857" s="15"/>
      <c r="G857" s="16"/>
      <c r="H857" s="16"/>
      <c r="I857" s="16"/>
      <c r="J857" s="16"/>
      <c r="K857" s="16"/>
      <c r="L857" s="16"/>
      <c r="M857" s="15"/>
      <c r="N857" s="16"/>
      <c r="O857" s="16"/>
      <c r="P857" s="16"/>
      <c r="Q857" s="16"/>
      <c r="R857" s="16"/>
      <c r="S857" s="16"/>
      <c r="T857" s="16"/>
      <c r="U857" s="16"/>
      <c r="V857" s="16"/>
    </row>
    <row r="858" spans="1:22" ht="13.2">
      <c r="A858" s="12"/>
      <c r="B858" s="46"/>
      <c r="C858" s="12"/>
      <c r="D858" s="15"/>
      <c r="E858" s="15"/>
      <c r="F858" s="15"/>
      <c r="G858" s="16"/>
      <c r="H858" s="16"/>
      <c r="I858" s="16"/>
      <c r="J858" s="16"/>
      <c r="K858" s="16"/>
      <c r="L858" s="16"/>
      <c r="M858" s="15"/>
      <c r="N858" s="16"/>
      <c r="O858" s="16"/>
      <c r="P858" s="16"/>
      <c r="Q858" s="16"/>
      <c r="R858" s="16"/>
      <c r="S858" s="16"/>
      <c r="T858" s="16"/>
      <c r="U858" s="16"/>
      <c r="V858" s="16"/>
    </row>
    <row r="859" spans="1:22" ht="13.2">
      <c r="A859" s="12"/>
      <c r="B859" s="46"/>
      <c r="C859" s="12"/>
      <c r="D859" s="15"/>
      <c r="E859" s="15"/>
      <c r="F859" s="15"/>
      <c r="G859" s="16"/>
      <c r="H859" s="16"/>
      <c r="I859" s="16"/>
      <c r="J859" s="16"/>
      <c r="K859" s="16"/>
      <c r="L859" s="16"/>
      <c r="M859" s="15"/>
      <c r="N859" s="16"/>
      <c r="O859" s="16"/>
      <c r="P859" s="16"/>
      <c r="Q859" s="16"/>
      <c r="R859" s="16"/>
      <c r="S859" s="16"/>
      <c r="T859" s="16"/>
      <c r="U859" s="16"/>
      <c r="V859" s="16"/>
    </row>
    <row r="860" spans="1:22" ht="13.2">
      <c r="A860" s="12"/>
      <c r="B860" s="46"/>
      <c r="C860" s="12"/>
      <c r="D860" s="15"/>
      <c r="E860" s="15"/>
      <c r="F860" s="15"/>
      <c r="G860" s="16"/>
      <c r="H860" s="16"/>
      <c r="I860" s="16"/>
      <c r="J860" s="16"/>
      <c r="K860" s="16"/>
      <c r="L860" s="16"/>
      <c r="M860" s="15"/>
      <c r="N860" s="16"/>
      <c r="O860" s="16"/>
      <c r="P860" s="16"/>
      <c r="Q860" s="16"/>
      <c r="R860" s="16"/>
      <c r="S860" s="16"/>
      <c r="T860" s="16"/>
      <c r="U860" s="16"/>
      <c r="V860" s="16"/>
    </row>
    <row r="861" spans="1:22" ht="13.2">
      <c r="A861" s="12"/>
      <c r="B861" s="46"/>
      <c r="C861" s="12"/>
      <c r="D861" s="15"/>
      <c r="E861" s="15"/>
      <c r="F861" s="15"/>
      <c r="G861" s="16"/>
      <c r="H861" s="16"/>
      <c r="I861" s="16"/>
      <c r="J861" s="16"/>
      <c r="K861" s="16"/>
      <c r="L861" s="16"/>
      <c r="M861" s="15"/>
      <c r="N861" s="16"/>
      <c r="O861" s="16"/>
      <c r="P861" s="16"/>
      <c r="Q861" s="16"/>
      <c r="R861" s="16"/>
      <c r="S861" s="16"/>
      <c r="T861" s="16"/>
      <c r="U861" s="16"/>
      <c r="V861" s="16"/>
    </row>
    <row r="862" spans="1:22" ht="13.2">
      <c r="A862" s="12"/>
      <c r="B862" s="46"/>
      <c r="C862" s="12"/>
      <c r="D862" s="15"/>
      <c r="E862" s="15"/>
      <c r="F862" s="15"/>
      <c r="G862" s="16"/>
      <c r="H862" s="16"/>
      <c r="I862" s="16"/>
      <c r="J862" s="16"/>
      <c r="K862" s="16"/>
      <c r="L862" s="16"/>
      <c r="M862" s="15"/>
      <c r="N862" s="16"/>
      <c r="O862" s="16"/>
      <c r="P862" s="16"/>
      <c r="Q862" s="16"/>
      <c r="R862" s="16"/>
      <c r="S862" s="16"/>
      <c r="T862" s="16"/>
      <c r="U862" s="16"/>
      <c r="V862" s="16"/>
    </row>
    <row r="863" spans="1:22" ht="13.2">
      <c r="A863" s="12"/>
      <c r="B863" s="46"/>
      <c r="C863" s="12"/>
      <c r="D863" s="15"/>
      <c r="E863" s="15"/>
      <c r="F863" s="15"/>
      <c r="G863" s="16"/>
      <c r="H863" s="16"/>
      <c r="I863" s="16"/>
      <c r="J863" s="16"/>
      <c r="K863" s="16"/>
      <c r="L863" s="16"/>
      <c r="M863" s="15"/>
      <c r="N863" s="16"/>
      <c r="O863" s="16"/>
      <c r="P863" s="16"/>
      <c r="Q863" s="16"/>
      <c r="R863" s="16"/>
      <c r="S863" s="16"/>
      <c r="T863" s="16"/>
      <c r="U863" s="16"/>
      <c r="V863" s="16"/>
    </row>
    <row r="864" spans="1:22" ht="13.2">
      <c r="A864" s="12"/>
      <c r="B864" s="46"/>
      <c r="C864" s="12"/>
      <c r="D864" s="15"/>
      <c r="E864" s="15"/>
      <c r="F864" s="15"/>
      <c r="G864" s="16"/>
      <c r="H864" s="16"/>
      <c r="I864" s="16"/>
      <c r="J864" s="16"/>
      <c r="K864" s="16"/>
      <c r="L864" s="16"/>
      <c r="M864" s="15"/>
      <c r="N864" s="16"/>
      <c r="O864" s="16"/>
      <c r="P864" s="16"/>
      <c r="Q864" s="16"/>
      <c r="R864" s="16"/>
      <c r="S864" s="16"/>
      <c r="T864" s="16"/>
      <c r="U864" s="16"/>
      <c r="V864" s="16"/>
    </row>
    <row r="865" spans="1:22" ht="13.2">
      <c r="A865" s="12"/>
      <c r="B865" s="46"/>
      <c r="C865" s="12"/>
      <c r="D865" s="15"/>
      <c r="E865" s="15"/>
      <c r="F865" s="15"/>
      <c r="G865" s="16"/>
      <c r="H865" s="16"/>
      <c r="I865" s="16"/>
      <c r="J865" s="16"/>
      <c r="K865" s="16"/>
      <c r="L865" s="16"/>
      <c r="M865" s="15"/>
      <c r="N865" s="16"/>
      <c r="O865" s="16"/>
      <c r="P865" s="16"/>
      <c r="Q865" s="16"/>
      <c r="R865" s="16"/>
      <c r="S865" s="16"/>
      <c r="T865" s="16"/>
      <c r="U865" s="16"/>
      <c r="V865" s="16"/>
    </row>
    <row r="866" spans="1:22" ht="13.2">
      <c r="A866" s="12"/>
      <c r="B866" s="46"/>
      <c r="C866" s="12"/>
      <c r="D866" s="15"/>
      <c r="E866" s="15"/>
      <c r="F866" s="15"/>
      <c r="G866" s="16"/>
      <c r="H866" s="16"/>
      <c r="I866" s="16"/>
      <c r="J866" s="16"/>
      <c r="K866" s="16"/>
      <c r="L866" s="16"/>
      <c r="M866" s="15"/>
      <c r="N866" s="16"/>
      <c r="O866" s="16"/>
      <c r="P866" s="16"/>
      <c r="Q866" s="16"/>
      <c r="R866" s="16"/>
      <c r="S866" s="16"/>
      <c r="T866" s="16"/>
      <c r="U866" s="16"/>
      <c r="V866" s="16"/>
    </row>
    <row r="867" spans="1:22" ht="13.2">
      <c r="A867" s="12"/>
      <c r="B867" s="46"/>
      <c r="C867" s="12"/>
      <c r="D867" s="15"/>
      <c r="E867" s="15"/>
      <c r="F867" s="15"/>
      <c r="G867" s="16"/>
      <c r="H867" s="16"/>
      <c r="I867" s="16"/>
      <c r="J867" s="16"/>
      <c r="K867" s="16"/>
      <c r="L867" s="16"/>
      <c r="M867" s="15"/>
      <c r="N867" s="16"/>
      <c r="O867" s="16"/>
      <c r="P867" s="16"/>
      <c r="Q867" s="16"/>
      <c r="R867" s="16"/>
      <c r="S867" s="16"/>
      <c r="T867" s="16"/>
      <c r="U867" s="16"/>
      <c r="V867" s="16"/>
    </row>
    <row r="868" spans="1:22" ht="13.2">
      <c r="A868" s="12"/>
      <c r="B868" s="46"/>
      <c r="C868" s="12"/>
      <c r="D868" s="15"/>
      <c r="E868" s="15"/>
      <c r="F868" s="15"/>
      <c r="G868" s="16"/>
      <c r="H868" s="16"/>
      <c r="I868" s="16"/>
      <c r="J868" s="16"/>
      <c r="K868" s="16"/>
      <c r="L868" s="16"/>
      <c r="M868" s="15"/>
      <c r="N868" s="16"/>
      <c r="O868" s="16"/>
      <c r="P868" s="16"/>
      <c r="Q868" s="16"/>
      <c r="R868" s="16"/>
      <c r="S868" s="16"/>
      <c r="T868" s="16"/>
      <c r="U868" s="16"/>
      <c r="V868" s="16"/>
    </row>
    <row r="869" spans="1:22" ht="13.2">
      <c r="A869" s="12"/>
      <c r="B869" s="46"/>
      <c r="C869" s="12"/>
      <c r="D869" s="15"/>
      <c r="E869" s="15"/>
      <c r="F869" s="15"/>
      <c r="G869" s="16"/>
      <c r="H869" s="16"/>
      <c r="I869" s="16"/>
      <c r="J869" s="16"/>
      <c r="K869" s="16"/>
      <c r="L869" s="16"/>
      <c r="M869" s="15"/>
      <c r="N869" s="16"/>
      <c r="O869" s="16"/>
      <c r="P869" s="16"/>
      <c r="Q869" s="16"/>
      <c r="R869" s="16"/>
      <c r="S869" s="16"/>
      <c r="T869" s="16"/>
      <c r="U869" s="16"/>
      <c r="V869" s="16"/>
    </row>
    <row r="870" spans="1:22" ht="13.2">
      <c r="A870" s="12"/>
      <c r="B870" s="46"/>
      <c r="C870" s="12"/>
      <c r="D870" s="15"/>
      <c r="E870" s="15"/>
      <c r="F870" s="15"/>
      <c r="G870" s="16"/>
      <c r="H870" s="16"/>
      <c r="I870" s="16"/>
      <c r="J870" s="16"/>
      <c r="K870" s="16"/>
      <c r="L870" s="16"/>
      <c r="M870" s="15"/>
      <c r="N870" s="16"/>
      <c r="O870" s="16"/>
      <c r="P870" s="16"/>
      <c r="Q870" s="16"/>
      <c r="R870" s="16"/>
      <c r="S870" s="16"/>
      <c r="T870" s="16"/>
      <c r="U870" s="16"/>
      <c r="V870" s="16"/>
    </row>
    <row r="871" spans="1:22" ht="13.2">
      <c r="A871" s="12"/>
      <c r="B871" s="46"/>
      <c r="C871" s="12"/>
      <c r="D871" s="15"/>
      <c r="E871" s="15"/>
      <c r="F871" s="15"/>
      <c r="G871" s="16"/>
      <c r="H871" s="16"/>
      <c r="I871" s="16"/>
      <c r="J871" s="16"/>
      <c r="K871" s="16"/>
      <c r="L871" s="16"/>
      <c r="M871" s="15"/>
      <c r="N871" s="16"/>
      <c r="O871" s="16"/>
      <c r="P871" s="16"/>
      <c r="Q871" s="16"/>
      <c r="R871" s="16"/>
      <c r="S871" s="16"/>
      <c r="T871" s="16"/>
      <c r="U871" s="16"/>
      <c r="V871" s="16"/>
    </row>
    <row r="872" spans="1:22" ht="13.2">
      <c r="A872" s="12"/>
      <c r="B872" s="46"/>
      <c r="C872" s="12"/>
      <c r="D872" s="15"/>
      <c r="E872" s="15"/>
      <c r="F872" s="15"/>
      <c r="G872" s="16"/>
      <c r="H872" s="16"/>
      <c r="I872" s="16"/>
      <c r="J872" s="16"/>
      <c r="K872" s="16"/>
      <c r="L872" s="16"/>
      <c r="M872" s="15"/>
      <c r="N872" s="16"/>
      <c r="O872" s="16"/>
      <c r="P872" s="16"/>
      <c r="Q872" s="16"/>
      <c r="R872" s="16"/>
      <c r="S872" s="16"/>
      <c r="T872" s="16"/>
      <c r="U872" s="16"/>
      <c r="V872" s="16"/>
    </row>
    <row r="873" spans="1:22" ht="13.2">
      <c r="A873" s="12"/>
      <c r="B873" s="46"/>
      <c r="C873" s="12"/>
      <c r="D873" s="15"/>
      <c r="E873" s="15"/>
      <c r="F873" s="15"/>
      <c r="G873" s="16"/>
      <c r="H873" s="16"/>
      <c r="I873" s="16"/>
      <c r="J873" s="16"/>
      <c r="K873" s="16"/>
      <c r="L873" s="16"/>
      <c r="M873" s="15"/>
      <c r="N873" s="16"/>
      <c r="O873" s="16"/>
      <c r="P873" s="16"/>
      <c r="Q873" s="16"/>
      <c r="R873" s="16"/>
      <c r="S873" s="16"/>
      <c r="T873" s="16"/>
      <c r="U873" s="16"/>
      <c r="V873" s="16"/>
    </row>
    <row r="874" spans="1:22" ht="13.2">
      <c r="A874" s="12"/>
      <c r="B874" s="46"/>
      <c r="C874" s="12"/>
      <c r="D874" s="15"/>
      <c r="E874" s="15"/>
      <c r="F874" s="15"/>
      <c r="G874" s="16"/>
      <c r="H874" s="16"/>
      <c r="I874" s="16"/>
      <c r="J874" s="16"/>
      <c r="K874" s="16"/>
      <c r="L874" s="16"/>
      <c r="M874" s="15"/>
      <c r="N874" s="16"/>
      <c r="O874" s="16"/>
      <c r="P874" s="16"/>
      <c r="Q874" s="16"/>
      <c r="R874" s="16"/>
      <c r="S874" s="16"/>
      <c r="T874" s="16"/>
      <c r="U874" s="16"/>
      <c r="V874" s="16"/>
    </row>
    <row r="875" spans="1:22" ht="13.2">
      <c r="A875" s="12"/>
      <c r="B875" s="46"/>
      <c r="C875" s="12"/>
      <c r="D875" s="15"/>
      <c r="E875" s="15"/>
      <c r="F875" s="15"/>
      <c r="G875" s="16"/>
      <c r="H875" s="16"/>
      <c r="I875" s="16"/>
      <c r="J875" s="16"/>
      <c r="K875" s="16"/>
      <c r="L875" s="16"/>
      <c r="M875" s="15"/>
      <c r="N875" s="16"/>
      <c r="O875" s="16"/>
      <c r="P875" s="16"/>
      <c r="Q875" s="16"/>
      <c r="R875" s="16"/>
      <c r="S875" s="16"/>
      <c r="T875" s="16"/>
      <c r="U875" s="16"/>
      <c r="V875" s="16"/>
    </row>
    <row r="876" spans="1:22" ht="13.2">
      <c r="A876" s="12"/>
      <c r="B876" s="46"/>
      <c r="C876" s="12"/>
      <c r="D876" s="15"/>
      <c r="E876" s="15"/>
      <c r="F876" s="15"/>
      <c r="G876" s="16"/>
      <c r="H876" s="16"/>
      <c r="I876" s="16"/>
      <c r="J876" s="16"/>
      <c r="K876" s="16"/>
      <c r="L876" s="16"/>
      <c r="M876" s="15"/>
      <c r="N876" s="16"/>
      <c r="O876" s="16"/>
      <c r="P876" s="16"/>
      <c r="Q876" s="16"/>
      <c r="R876" s="16"/>
      <c r="S876" s="16"/>
      <c r="T876" s="16"/>
      <c r="U876" s="16"/>
      <c r="V876" s="16"/>
    </row>
    <row r="877" spans="1:22" ht="13.2">
      <c r="A877" s="12"/>
      <c r="B877" s="46"/>
      <c r="C877" s="12"/>
      <c r="D877" s="15"/>
      <c r="E877" s="15"/>
      <c r="F877" s="15"/>
      <c r="G877" s="16"/>
      <c r="H877" s="16"/>
      <c r="I877" s="16"/>
      <c r="J877" s="16"/>
      <c r="K877" s="16"/>
      <c r="L877" s="16"/>
      <c r="M877" s="15"/>
      <c r="N877" s="16"/>
      <c r="O877" s="16"/>
      <c r="P877" s="16"/>
      <c r="Q877" s="16"/>
      <c r="R877" s="16"/>
      <c r="S877" s="16"/>
      <c r="T877" s="16"/>
      <c r="U877" s="16"/>
      <c r="V877" s="16"/>
    </row>
    <row r="878" spans="1:22" ht="13.2">
      <c r="A878" s="12"/>
      <c r="B878" s="46"/>
      <c r="C878" s="12"/>
      <c r="D878" s="15"/>
      <c r="E878" s="15"/>
      <c r="F878" s="15"/>
      <c r="G878" s="16"/>
      <c r="H878" s="16"/>
      <c r="I878" s="16"/>
      <c r="J878" s="16"/>
      <c r="K878" s="16"/>
      <c r="L878" s="16"/>
      <c r="M878" s="15"/>
      <c r="N878" s="16"/>
      <c r="O878" s="16"/>
      <c r="P878" s="16"/>
      <c r="Q878" s="16"/>
      <c r="R878" s="16"/>
      <c r="S878" s="16"/>
      <c r="T878" s="16"/>
      <c r="U878" s="16"/>
      <c r="V878" s="16"/>
    </row>
    <row r="879" spans="1:22" ht="13.2">
      <c r="A879" s="12"/>
      <c r="B879" s="46"/>
      <c r="C879" s="12"/>
      <c r="D879" s="15"/>
      <c r="E879" s="15"/>
      <c r="F879" s="15"/>
      <c r="G879" s="16"/>
      <c r="H879" s="16"/>
      <c r="I879" s="16"/>
      <c r="J879" s="16"/>
      <c r="K879" s="16"/>
      <c r="L879" s="16"/>
      <c r="M879" s="15"/>
      <c r="N879" s="16"/>
      <c r="O879" s="16"/>
      <c r="P879" s="16"/>
      <c r="Q879" s="16"/>
      <c r="R879" s="16"/>
      <c r="S879" s="16"/>
      <c r="T879" s="16"/>
      <c r="U879" s="16"/>
      <c r="V879" s="16"/>
    </row>
    <row r="880" spans="1:22" ht="13.2">
      <c r="A880" s="12"/>
      <c r="B880" s="46"/>
      <c r="C880" s="12"/>
      <c r="D880" s="15"/>
      <c r="E880" s="15"/>
      <c r="F880" s="15"/>
      <c r="G880" s="16"/>
      <c r="H880" s="16"/>
      <c r="I880" s="16"/>
      <c r="J880" s="16"/>
      <c r="K880" s="16"/>
      <c r="L880" s="16"/>
      <c r="M880" s="15"/>
      <c r="N880" s="16"/>
      <c r="O880" s="16"/>
      <c r="P880" s="16"/>
      <c r="Q880" s="16"/>
      <c r="R880" s="16"/>
      <c r="S880" s="16"/>
      <c r="T880" s="16"/>
      <c r="U880" s="16"/>
      <c r="V880" s="16"/>
    </row>
    <row r="881" spans="1:22" ht="13.2">
      <c r="A881" s="12"/>
      <c r="B881" s="46"/>
      <c r="C881" s="12"/>
      <c r="D881" s="15"/>
      <c r="E881" s="15"/>
      <c r="F881" s="15"/>
      <c r="G881" s="16"/>
      <c r="H881" s="16"/>
      <c r="I881" s="16"/>
      <c r="J881" s="16"/>
      <c r="K881" s="16"/>
      <c r="L881" s="16"/>
      <c r="M881" s="15"/>
      <c r="N881" s="16"/>
      <c r="O881" s="16"/>
      <c r="P881" s="16"/>
      <c r="Q881" s="16"/>
      <c r="R881" s="16"/>
      <c r="S881" s="16"/>
      <c r="T881" s="16"/>
      <c r="U881" s="16"/>
      <c r="V881" s="16"/>
    </row>
    <row r="882" spans="1:22" ht="13.2">
      <c r="A882" s="12"/>
      <c r="B882" s="46"/>
      <c r="C882" s="12"/>
      <c r="D882" s="15"/>
      <c r="E882" s="15"/>
      <c r="F882" s="15"/>
      <c r="G882" s="16"/>
      <c r="H882" s="16"/>
      <c r="I882" s="16"/>
      <c r="J882" s="16"/>
      <c r="K882" s="16"/>
      <c r="L882" s="16"/>
      <c r="M882" s="15"/>
      <c r="N882" s="16"/>
      <c r="O882" s="16"/>
      <c r="P882" s="16"/>
      <c r="Q882" s="16"/>
      <c r="R882" s="16"/>
      <c r="S882" s="16"/>
      <c r="T882" s="16"/>
      <c r="U882" s="16"/>
      <c r="V882" s="16"/>
    </row>
    <row r="883" spans="1:22" ht="13.2">
      <c r="A883" s="12"/>
      <c r="B883" s="46"/>
      <c r="C883" s="12"/>
      <c r="D883" s="15"/>
      <c r="E883" s="15"/>
      <c r="F883" s="15"/>
      <c r="G883" s="16"/>
      <c r="H883" s="16"/>
      <c r="I883" s="16"/>
      <c r="J883" s="16"/>
      <c r="K883" s="16"/>
      <c r="L883" s="16"/>
      <c r="M883" s="15"/>
      <c r="N883" s="16"/>
      <c r="O883" s="16"/>
      <c r="P883" s="16"/>
      <c r="Q883" s="16"/>
      <c r="R883" s="16"/>
      <c r="S883" s="16"/>
      <c r="T883" s="16"/>
      <c r="U883" s="16"/>
      <c r="V883" s="16"/>
    </row>
    <row r="884" spans="1:22" ht="13.2">
      <c r="A884" s="12"/>
      <c r="B884" s="46"/>
      <c r="C884" s="12"/>
      <c r="D884" s="15"/>
      <c r="E884" s="15"/>
      <c r="F884" s="15"/>
      <c r="G884" s="16"/>
      <c r="H884" s="16"/>
      <c r="I884" s="16"/>
      <c r="J884" s="16"/>
      <c r="K884" s="16"/>
      <c r="L884" s="16"/>
      <c r="M884" s="15"/>
      <c r="N884" s="16"/>
      <c r="O884" s="16"/>
      <c r="P884" s="16"/>
      <c r="Q884" s="16"/>
      <c r="R884" s="16"/>
      <c r="S884" s="16"/>
      <c r="T884" s="16"/>
      <c r="U884" s="16"/>
      <c r="V884" s="16"/>
    </row>
    <row r="885" spans="1:22" ht="13.2">
      <c r="A885" s="12"/>
      <c r="B885" s="46"/>
      <c r="C885" s="12"/>
      <c r="D885" s="15"/>
      <c r="E885" s="15"/>
      <c r="F885" s="15"/>
      <c r="G885" s="16"/>
      <c r="H885" s="16"/>
      <c r="I885" s="16"/>
      <c r="J885" s="16"/>
      <c r="K885" s="16"/>
      <c r="L885" s="16"/>
      <c r="M885" s="15"/>
      <c r="N885" s="16"/>
      <c r="O885" s="16"/>
      <c r="P885" s="16"/>
      <c r="Q885" s="16"/>
      <c r="R885" s="16"/>
      <c r="S885" s="16"/>
      <c r="T885" s="16"/>
      <c r="U885" s="16"/>
      <c r="V885" s="16"/>
    </row>
    <row r="886" spans="1:22" ht="13.2">
      <c r="A886" s="12"/>
      <c r="B886" s="46"/>
      <c r="C886" s="12"/>
      <c r="D886" s="15"/>
      <c r="E886" s="15"/>
      <c r="F886" s="15"/>
      <c r="G886" s="16"/>
      <c r="H886" s="16"/>
      <c r="I886" s="16"/>
      <c r="J886" s="16"/>
      <c r="K886" s="16"/>
      <c r="L886" s="16"/>
      <c r="M886" s="15"/>
      <c r="N886" s="16"/>
      <c r="O886" s="16"/>
      <c r="P886" s="16"/>
      <c r="Q886" s="16"/>
      <c r="R886" s="16"/>
      <c r="S886" s="16"/>
      <c r="T886" s="16"/>
      <c r="U886" s="16"/>
      <c r="V886" s="16"/>
    </row>
    <row r="887" spans="1:22" ht="13.2">
      <c r="A887" s="12"/>
      <c r="B887" s="46"/>
      <c r="C887" s="12"/>
      <c r="D887" s="15"/>
      <c r="E887" s="15"/>
      <c r="F887" s="15"/>
      <c r="G887" s="16"/>
      <c r="H887" s="16"/>
      <c r="I887" s="16"/>
      <c r="J887" s="16"/>
      <c r="K887" s="16"/>
      <c r="L887" s="16"/>
      <c r="M887" s="15"/>
      <c r="N887" s="16"/>
      <c r="O887" s="16"/>
      <c r="P887" s="16"/>
      <c r="Q887" s="16"/>
      <c r="R887" s="16"/>
      <c r="S887" s="16"/>
      <c r="T887" s="16"/>
      <c r="U887" s="16"/>
      <c r="V887" s="16"/>
    </row>
    <row r="888" spans="1:22" ht="13.2">
      <c r="A888" s="12"/>
      <c r="B888" s="46"/>
      <c r="C888" s="12"/>
      <c r="D888" s="15"/>
      <c r="E888" s="15"/>
      <c r="F888" s="15"/>
      <c r="G888" s="16"/>
      <c r="H888" s="16"/>
      <c r="I888" s="16"/>
      <c r="J888" s="16"/>
      <c r="K888" s="16"/>
      <c r="L888" s="16"/>
      <c r="M888" s="15"/>
      <c r="N888" s="16"/>
      <c r="O888" s="16"/>
      <c r="P888" s="16"/>
      <c r="Q888" s="16"/>
      <c r="R888" s="16"/>
      <c r="S888" s="16"/>
      <c r="T888" s="16"/>
      <c r="U888" s="16"/>
      <c r="V888" s="16"/>
    </row>
    <row r="889" spans="1:22" ht="13.2">
      <c r="A889" s="12"/>
      <c r="B889" s="46"/>
      <c r="C889" s="12"/>
      <c r="D889" s="15"/>
      <c r="E889" s="15"/>
      <c r="F889" s="15"/>
      <c r="G889" s="16"/>
      <c r="H889" s="16"/>
      <c r="I889" s="16"/>
      <c r="J889" s="16"/>
      <c r="K889" s="16"/>
      <c r="L889" s="16"/>
      <c r="M889" s="15"/>
      <c r="N889" s="16"/>
      <c r="O889" s="16"/>
      <c r="P889" s="16"/>
      <c r="Q889" s="16"/>
      <c r="R889" s="16"/>
      <c r="S889" s="16"/>
      <c r="T889" s="16"/>
      <c r="U889" s="16"/>
      <c r="V889" s="16"/>
    </row>
    <row r="890" spans="1:22" ht="13.2">
      <c r="A890" s="12"/>
      <c r="B890" s="46"/>
      <c r="C890" s="12"/>
      <c r="D890" s="15"/>
      <c r="E890" s="15"/>
      <c r="F890" s="15"/>
      <c r="G890" s="16"/>
      <c r="H890" s="16"/>
      <c r="I890" s="16"/>
      <c r="J890" s="16"/>
      <c r="K890" s="16"/>
      <c r="L890" s="16"/>
      <c r="M890" s="15"/>
      <c r="N890" s="16"/>
      <c r="O890" s="16"/>
      <c r="P890" s="16"/>
      <c r="Q890" s="16"/>
      <c r="R890" s="16"/>
      <c r="S890" s="16"/>
      <c r="T890" s="16"/>
      <c r="U890" s="16"/>
      <c r="V890" s="16"/>
    </row>
    <row r="891" spans="1:22" ht="13.2">
      <c r="A891" s="12"/>
      <c r="B891" s="46"/>
      <c r="C891" s="12"/>
      <c r="D891" s="15"/>
      <c r="E891" s="15"/>
      <c r="F891" s="15"/>
      <c r="G891" s="16"/>
      <c r="H891" s="16"/>
      <c r="I891" s="16"/>
      <c r="J891" s="16"/>
      <c r="K891" s="16"/>
      <c r="L891" s="16"/>
      <c r="M891" s="15"/>
      <c r="N891" s="16"/>
      <c r="O891" s="16"/>
      <c r="P891" s="16"/>
      <c r="Q891" s="16"/>
      <c r="R891" s="16"/>
      <c r="S891" s="16"/>
      <c r="T891" s="16"/>
      <c r="U891" s="16"/>
      <c r="V891" s="16"/>
    </row>
    <row r="892" spans="1:22" ht="13.2">
      <c r="A892" s="12"/>
      <c r="B892" s="46"/>
      <c r="C892" s="12"/>
      <c r="D892" s="15"/>
      <c r="E892" s="15"/>
      <c r="F892" s="15"/>
      <c r="G892" s="16"/>
      <c r="H892" s="16"/>
      <c r="I892" s="16"/>
      <c r="J892" s="16"/>
      <c r="K892" s="16"/>
      <c r="L892" s="16"/>
      <c r="M892" s="15"/>
      <c r="N892" s="16"/>
      <c r="O892" s="16"/>
      <c r="P892" s="16"/>
      <c r="Q892" s="16"/>
      <c r="R892" s="16"/>
      <c r="S892" s="16"/>
      <c r="T892" s="16"/>
      <c r="U892" s="16"/>
      <c r="V892" s="16"/>
    </row>
    <row r="893" spans="1:22" ht="13.2">
      <c r="A893" s="12"/>
      <c r="B893" s="46"/>
      <c r="C893" s="12"/>
      <c r="D893" s="15"/>
      <c r="E893" s="15"/>
      <c r="F893" s="15"/>
      <c r="G893" s="16"/>
      <c r="H893" s="16"/>
      <c r="I893" s="16"/>
      <c r="J893" s="16"/>
      <c r="K893" s="16"/>
      <c r="L893" s="16"/>
      <c r="M893" s="15"/>
      <c r="N893" s="16"/>
      <c r="O893" s="16"/>
      <c r="P893" s="16"/>
      <c r="Q893" s="16"/>
      <c r="R893" s="16"/>
      <c r="S893" s="16"/>
      <c r="T893" s="16"/>
      <c r="U893" s="16"/>
      <c r="V893" s="16"/>
    </row>
    <row r="894" spans="1:22" ht="13.2">
      <c r="A894" s="12"/>
      <c r="B894" s="46"/>
      <c r="C894" s="12"/>
      <c r="D894" s="15"/>
      <c r="E894" s="15"/>
      <c r="F894" s="15"/>
      <c r="G894" s="16"/>
      <c r="H894" s="16"/>
      <c r="I894" s="16"/>
      <c r="J894" s="16"/>
      <c r="K894" s="16"/>
      <c r="L894" s="16"/>
      <c r="M894" s="15"/>
      <c r="N894" s="16"/>
      <c r="O894" s="16"/>
      <c r="P894" s="16"/>
      <c r="Q894" s="16"/>
      <c r="R894" s="16"/>
      <c r="S894" s="16"/>
      <c r="T894" s="16"/>
      <c r="U894" s="16"/>
      <c r="V894" s="16"/>
    </row>
    <row r="895" spans="1:22" ht="13.2">
      <c r="A895" s="12"/>
      <c r="B895" s="46"/>
      <c r="C895" s="12"/>
      <c r="D895" s="15"/>
      <c r="E895" s="15"/>
      <c r="F895" s="15"/>
      <c r="G895" s="16"/>
      <c r="H895" s="16"/>
      <c r="I895" s="16"/>
      <c r="J895" s="16"/>
      <c r="K895" s="16"/>
      <c r="L895" s="16"/>
      <c r="M895" s="15"/>
      <c r="N895" s="16"/>
      <c r="O895" s="16"/>
      <c r="P895" s="16"/>
      <c r="Q895" s="16"/>
      <c r="R895" s="16"/>
      <c r="S895" s="16"/>
      <c r="T895" s="16"/>
      <c r="U895" s="16"/>
      <c r="V895" s="16"/>
    </row>
    <row r="896" spans="1:22" ht="13.2">
      <c r="A896" s="12"/>
      <c r="B896" s="46"/>
      <c r="C896" s="12"/>
      <c r="D896" s="15"/>
      <c r="E896" s="15"/>
      <c r="F896" s="15"/>
      <c r="G896" s="16"/>
      <c r="H896" s="16"/>
      <c r="I896" s="16"/>
      <c r="J896" s="16"/>
      <c r="K896" s="16"/>
      <c r="L896" s="16"/>
      <c r="M896" s="15"/>
      <c r="N896" s="16"/>
      <c r="O896" s="16"/>
      <c r="P896" s="16"/>
      <c r="Q896" s="16"/>
      <c r="R896" s="16"/>
      <c r="S896" s="16"/>
      <c r="T896" s="16"/>
      <c r="U896" s="16"/>
      <c r="V896" s="16"/>
    </row>
    <row r="897" spans="1:22" ht="13.2">
      <c r="A897" s="12"/>
      <c r="B897" s="46"/>
      <c r="C897" s="12"/>
      <c r="D897" s="15"/>
      <c r="E897" s="15"/>
      <c r="F897" s="15"/>
      <c r="G897" s="16"/>
      <c r="H897" s="16"/>
      <c r="I897" s="16"/>
      <c r="J897" s="16"/>
      <c r="K897" s="16"/>
      <c r="L897" s="16"/>
      <c r="M897" s="15"/>
      <c r="N897" s="16"/>
      <c r="O897" s="16"/>
      <c r="P897" s="16"/>
      <c r="Q897" s="16"/>
      <c r="R897" s="16"/>
      <c r="S897" s="16"/>
      <c r="T897" s="16"/>
      <c r="U897" s="16"/>
      <c r="V897" s="16"/>
    </row>
    <row r="898" spans="1:22" ht="13.2">
      <c r="A898" s="12"/>
      <c r="B898" s="46"/>
      <c r="C898" s="12"/>
      <c r="D898" s="15"/>
      <c r="E898" s="15"/>
      <c r="F898" s="15"/>
      <c r="G898" s="16"/>
      <c r="H898" s="16"/>
      <c r="I898" s="16"/>
      <c r="J898" s="16"/>
      <c r="K898" s="16"/>
      <c r="L898" s="16"/>
      <c r="M898" s="15"/>
      <c r="N898" s="16"/>
      <c r="O898" s="16"/>
      <c r="P898" s="16"/>
      <c r="Q898" s="16"/>
      <c r="R898" s="16"/>
      <c r="S898" s="16"/>
      <c r="T898" s="16"/>
      <c r="U898" s="16"/>
      <c r="V898" s="16"/>
    </row>
    <row r="899" spans="1:22" ht="13.2">
      <c r="A899" s="12"/>
      <c r="B899" s="46"/>
      <c r="C899" s="12"/>
      <c r="D899" s="15"/>
      <c r="E899" s="15"/>
      <c r="F899" s="15"/>
      <c r="G899" s="16"/>
      <c r="H899" s="16"/>
      <c r="I899" s="16"/>
      <c r="J899" s="16"/>
      <c r="K899" s="16"/>
      <c r="L899" s="16"/>
      <c r="M899" s="15"/>
      <c r="N899" s="16"/>
      <c r="O899" s="16"/>
      <c r="P899" s="16"/>
      <c r="Q899" s="16"/>
      <c r="R899" s="16"/>
      <c r="S899" s="16"/>
      <c r="T899" s="16"/>
      <c r="U899" s="16"/>
      <c r="V899" s="16"/>
    </row>
    <row r="900" spans="1:22" ht="13.2">
      <c r="A900" s="12"/>
      <c r="B900" s="46"/>
      <c r="C900" s="12"/>
      <c r="D900" s="15"/>
      <c r="E900" s="15"/>
      <c r="F900" s="15"/>
      <c r="G900" s="16"/>
      <c r="H900" s="16"/>
      <c r="I900" s="16"/>
      <c r="J900" s="16"/>
      <c r="K900" s="16"/>
      <c r="L900" s="16"/>
      <c r="M900" s="15"/>
      <c r="N900" s="16"/>
      <c r="O900" s="16"/>
      <c r="P900" s="16"/>
      <c r="Q900" s="16"/>
      <c r="R900" s="16"/>
      <c r="S900" s="16"/>
      <c r="T900" s="16"/>
      <c r="U900" s="16"/>
      <c r="V900" s="16"/>
    </row>
    <row r="901" spans="1:22" ht="13.2">
      <c r="A901" s="12"/>
      <c r="B901" s="46"/>
      <c r="C901" s="12"/>
      <c r="D901" s="15"/>
      <c r="E901" s="15"/>
      <c r="F901" s="15"/>
      <c r="G901" s="16"/>
      <c r="H901" s="16"/>
      <c r="I901" s="16"/>
      <c r="J901" s="16"/>
      <c r="K901" s="16"/>
      <c r="L901" s="16"/>
      <c r="M901" s="15"/>
      <c r="N901" s="16"/>
      <c r="O901" s="16"/>
      <c r="P901" s="16"/>
      <c r="Q901" s="16"/>
      <c r="R901" s="16"/>
      <c r="S901" s="16"/>
      <c r="T901" s="16"/>
      <c r="U901" s="16"/>
      <c r="V901" s="16"/>
    </row>
    <row r="902" spans="1:22" ht="13.2">
      <c r="A902" s="12"/>
      <c r="B902" s="46"/>
      <c r="C902" s="12"/>
      <c r="D902" s="15"/>
      <c r="E902" s="15"/>
      <c r="F902" s="15"/>
      <c r="G902" s="16"/>
      <c r="H902" s="16"/>
      <c r="I902" s="16"/>
      <c r="J902" s="16"/>
      <c r="K902" s="16"/>
      <c r="L902" s="16"/>
      <c r="M902" s="15"/>
      <c r="N902" s="16"/>
      <c r="O902" s="16"/>
      <c r="P902" s="16"/>
      <c r="Q902" s="16"/>
      <c r="R902" s="16"/>
      <c r="S902" s="16"/>
      <c r="T902" s="16"/>
      <c r="U902" s="16"/>
      <c r="V902" s="16"/>
    </row>
    <row r="903" spans="1:22" ht="13.2">
      <c r="A903" s="12"/>
      <c r="B903" s="46"/>
      <c r="C903" s="12"/>
      <c r="D903" s="15"/>
      <c r="E903" s="15"/>
      <c r="F903" s="15"/>
      <c r="G903" s="16"/>
      <c r="H903" s="16"/>
      <c r="I903" s="16"/>
      <c r="J903" s="16"/>
      <c r="K903" s="16"/>
      <c r="L903" s="16"/>
      <c r="M903" s="15"/>
      <c r="N903" s="16"/>
      <c r="O903" s="16"/>
      <c r="P903" s="16"/>
      <c r="Q903" s="16"/>
      <c r="R903" s="16"/>
      <c r="S903" s="16"/>
      <c r="T903" s="16"/>
      <c r="U903" s="16"/>
      <c r="V903" s="16"/>
    </row>
    <row r="904" spans="1:22" ht="13.2">
      <c r="A904" s="12"/>
      <c r="B904" s="46"/>
      <c r="C904" s="12"/>
      <c r="D904" s="15"/>
      <c r="E904" s="15"/>
      <c r="F904" s="15"/>
      <c r="G904" s="16"/>
      <c r="H904" s="16"/>
      <c r="I904" s="16"/>
      <c r="J904" s="16"/>
      <c r="K904" s="16"/>
      <c r="L904" s="16"/>
      <c r="M904" s="15"/>
      <c r="N904" s="16"/>
      <c r="O904" s="16"/>
      <c r="P904" s="16"/>
      <c r="Q904" s="16"/>
      <c r="R904" s="16"/>
      <c r="S904" s="16"/>
      <c r="T904" s="16"/>
      <c r="U904" s="16"/>
      <c r="V904" s="16"/>
    </row>
    <row r="905" spans="1:22" ht="13.2">
      <c r="A905" s="12"/>
      <c r="B905" s="46"/>
      <c r="C905" s="12"/>
      <c r="D905" s="15"/>
      <c r="E905" s="15"/>
      <c r="F905" s="15"/>
      <c r="G905" s="16"/>
      <c r="H905" s="16"/>
      <c r="I905" s="16"/>
      <c r="J905" s="16"/>
      <c r="K905" s="16"/>
      <c r="L905" s="16"/>
      <c r="M905" s="15"/>
      <c r="N905" s="16"/>
      <c r="O905" s="16"/>
      <c r="P905" s="16"/>
      <c r="Q905" s="16"/>
      <c r="R905" s="16"/>
      <c r="S905" s="16"/>
      <c r="T905" s="16"/>
      <c r="U905" s="16"/>
      <c r="V905" s="16"/>
    </row>
    <row r="906" spans="1:22" ht="13.2">
      <c r="A906" s="12"/>
      <c r="B906" s="46"/>
      <c r="C906" s="12"/>
      <c r="D906" s="15"/>
      <c r="E906" s="15"/>
      <c r="F906" s="15"/>
      <c r="G906" s="16"/>
      <c r="H906" s="16"/>
      <c r="I906" s="16"/>
      <c r="J906" s="16"/>
      <c r="K906" s="16"/>
      <c r="L906" s="16"/>
      <c r="M906" s="15"/>
      <c r="N906" s="16"/>
      <c r="O906" s="16"/>
      <c r="P906" s="16"/>
      <c r="Q906" s="16"/>
      <c r="R906" s="16"/>
      <c r="S906" s="16"/>
      <c r="T906" s="16"/>
      <c r="U906" s="16"/>
      <c r="V906" s="16"/>
    </row>
    <row r="907" spans="1:22" ht="13.2">
      <c r="A907" s="12"/>
      <c r="B907" s="46"/>
      <c r="C907" s="12"/>
      <c r="D907" s="15"/>
      <c r="E907" s="15"/>
      <c r="F907" s="15"/>
      <c r="G907" s="16"/>
      <c r="H907" s="16"/>
      <c r="I907" s="16"/>
      <c r="J907" s="16"/>
      <c r="K907" s="16"/>
      <c r="L907" s="16"/>
      <c r="M907" s="15"/>
      <c r="N907" s="16"/>
      <c r="O907" s="16"/>
      <c r="P907" s="16"/>
      <c r="Q907" s="16"/>
      <c r="R907" s="16"/>
      <c r="S907" s="16"/>
      <c r="T907" s="16"/>
      <c r="U907" s="16"/>
      <c r="V907" s="16"/>
    </row>
    <row r="908" spans="1:22" ht="13.2">
      <c r="A908" s="12"/>
      <c r="B908" s="46"/>
      <c r="C908" s="12"/>
      <c r="D908" s="15"/>
      <c r="E908" s="15"/>
      <c r="F908" s="15"/>
      <c r="G908" s="16"/>
      <c r="H908" s="16"/>
      <c r="I908" s="16"/>
      <c r="J908" s="16"/>
      <c r="K908" s="16"/>
      <c r="L908" s="16"/>
      <c r="M908" s="15"/>
      <c r="N908" s="16"/>
      <c r="O908" s="16"/>
      <c r="P908" s="16"/>
      <c r="Q908" s="16"/>
      <c r="R908" s="16"/>
      <c r="S908" s="16"/>
      <c r="T908" s="16"/>
      <c r="U908" s="16"/>
      <c r="V908" s="16"/>
    </row>
    <row r="909" spans="1:22" ht="13.2">
      <c r="A909" s="12"/>
      <c r="B909" s="46"/>
      <c r="C909" s="12"/>
      <c r="D909" s="15"/>
      <c r="E909" s="15"/>
      <c r="F909" s="15"/>
      <c r="G909" s="16"/>
      <c r="H909" s="16"/>
      <c r="I909" s="16"/>
      <c r="J909" s="16"/>
      <c r="K909" s="16"/>
      <c r="L909" s="16"/>
      <c r="M909" s="15"/>
      <c r="N909" s="16"/>
      <c r="O909" s="16"/>
      <c r="P909" s="16"/>
      <c r="Q909" s="16"/>
      <c r="R909" s="16"/>
      <c r="S909" s="16"/>
      <c r="T909" s="16"/>
      <c r="U909" s="16"/>
      <c r="V909" s="16"/>
    </row>
    <row r="910" spans="1:22" ht="13.2">
      <c r="A910" s="12"/>
      <c r="B910" s="46"/>
      <c r="C910" s="12"/>
      <c r="D910" s="15"/>
      <c r="E910" s="15"/>
      <c r="F910" s="15"/>
      <c r="G910" s="16"/>
      <c r="H910" s="16"/>
      <c r="I910" s="16"/>
      <c r="J910" s="16"/>
      <c r="K910" s="16"/>
      <c r="L910" s="16"/>
      <c r="M910" s="15"/>
      <c r="N910" s="16"/>
      <c r="O910" s="16"/>
      <c r="P910" s="16"/>
      <c r="Q910" s="16"/>
      <c r="R910" s="16"/>
      <c r="S910" s="16"/>
      <c r="T910" s="16"/>
      <c r="U910" s="16"/>
      <c r="V910" s="16"/>
    </row>
    <row r="911" spans="1:22" ht="13.2">
      <c r="A911" s="12"/>
      <c r="B911" s="46"/>
      <c r="C911" s="12"/>
      <c r="D911" s="15"/>
      <c r="E911" s="15"/>
      <c r="F911" s="15"/>
      <c r="G911" s="16"/>
      <c r="H911" s="16"/>
      <c r="I911" s="16"/>
      <c r="J911" s="16"/>
      <c r="K911" s="16"/>
      <c r="L911" s="16"/>
      <c r="M911" s="15"/>
      <c r="N911" s="16"/>
      <c r="O911" s="16"/>
      <c r="P911" s="16"/>
      <c r="Q911" s="16"/>
      <c r="R911" s="16"/>
      <c r="S911" s="16"/>
      <c r="T911" s="16"/>
      <c r="U911" s="16"/>
      <c r="V911" s="16"/>
    </row>
    <row r="912" spans="1:22" ht="13.2">
      <c r="A912" s="12"/>
      <c r="B912" s="46"/>
      <c r="C912" s="12"/>
      <c r="D912" s="15"/>
      <c r="E912" s="15"/>
      <c r="F912" s="15"/>
      <c r="G912" s="16"/>
      <c r="H912" s="16"/>
      <c r="I912" s="16"/>
      <c r="J912" s="16"/>
      <c r="K912" s="16"/>
      <c r="L912" s="16"/>
      <c r="M912" s="15"/>
      <c r="N912" s="16"/>
      <c r="O912" s="16"/>
      <c r="P912" s="16"/>
      <c r="Q912" s="16"/>
      <c r="R912" s="16"/>
      <c r="S912" s="16"/>
      <c r="T912" s="16"/>
      <c r="U912" s="16"/>
      <c r="V912" s="16"/>
    </row>
    <row r="913" spans="1:22" ht="13.2">
      <c r="A913" s="12"/>
      <c r="B913" s="46"/>
      <c r="C913" s="12"/>
      <c r="D913" s="15"/>
      <c r="E913" s="15"/>
      <c r="F913" s="15"/>
      <c r="G913" s="16"/>
      <c r="H913" s="16"/>
      <c r="I913" s="16"/>
      <c r="J913" s="16"/>
      <c r="K913" s="16"/>
      <c r="L913" s="16"/>
      <c r="M913" s="15"/>
      <c r="N913" s="16"/>
      <c r="O913" s="16"/>
      <c r="P913" s="16"/>
      <c r="Q913" s="16"/>
      <c r="R913" s="16"/>
      <c r="S913" s="16"/>
      <c r="T913" s="16"/>
      <c r="U913" s="16"/>
      <c r="V913" s="16"/>
    </row>
    <row r="914" spans="1:22" ht="13.2">
      <c r="A914" s="12"/>
      <c r="B914" s="46"/>
      <c r="C914" s="12"/>
      <c r="D914" s="15"/>
      <c r="E914" s="15"/>
      <c r="F914" s="15"/>
      <c r="G914" s="16"/>
      <c r="H914" s="16"/>
      <c r="I914" s="16"/>
      <c r="J914" s="16"/>
      <c r="K914" s="16"/>
      <c r="L914" s="16"/>
      <c r="M914" s="15"/>
      <c r="N914" s="16"/>
      <c r="O914" s="16"/>
      <c r="P914" s="16"/>
      <c r="Q914" s="16"/>
      <c r="R914" s="16"/>
      <c r="S914" s="16"/>
      <c r="T914" s="16"/>
      <c r="U914" s="16"/>
      <c r="V914" s="16"/>
    </row>
    <row r="915" spans="1:22" ht="13.2">
      <c r="A915" s="12"/>
      <c r="B915" s="46"/>
      <c r="C915" s="12"/>
      <c r="D915" s="15"/>
      <c r="E915" s="15"/>
      <c r="F915" s="15"/>
      <c r="G915" s="16"/>
      <c r="H915" s="16"/>
      <c r="I915" s="16"/>
      <c r="J915" s="16"/>
      <c r="K915" s="16"/>
      <c r="L915" s="16"/>
      <c r="M915" s="15"/>
      <c r="N915" s="16"/>
      <c r="O915" s="16"/>
      <c r="P915" s="16"/>
      <c r="Q915" s="16"/>
      <c r="R915" s="16"/>
      <c r="S915" s="16"/>
      <c r="T915" s="16"/>
      <c r="U915" s="16"/>
      <c r="V915" s="16"/>
    </row>
    <row r="916" spans="1:22" ht="13.2">
      <c r="A916" s="12"/>
      <c r="B916" s="46"/>
      <c r="C916" s="12"/>
      <c r="D916" s="15"/>
      <c r="E916" s="15"/>
      <c r="F916" s="15"/>
      <c r="G916" s="16"/>
      <c r="H916" s="16"/>
      <c r="I916" s="16"/>
      <c r="J916" s="16"/>
      <c r="K916" s="16"/>
      <c r="L916" s="16"/>
      <c r="M916" s="15"/>
      <c r="N916" s="16"/>
      <c r="O916" s="16"/>
      <c r="P916" s="16"/>
      <c r="Q916" s="16"/>
      <c r="R916" s="16"/>
      <c r="S916" s="16"/>
      <c r="T916" s="16"/>
      <c r="U916" s="16"/>
      <c r="V916" s="16"/>
    </row>
    <row r="917" spans="1:22" ht="13.2">
      <c r="A917" s="12"/>
      <c r="B917" s="46"/>
      <c r="C917" s="12"/>
      <c r="D917" s="15"/>
      <c r="E917" s="15"/>
      <c r="F917" s="15"/>
      <c r="G917" s="16"/>
      <c r="H917" s="16"/>
      <c r="I917" s="16"/>
      <c r="J917" s="16"/>
      <c r="K917" s="16"/>
      <c r="L917" s="16"/>
      <c r="M917" s="15"/>
      <c r="N917" s="16"/>
      <c r="O917" s="16"/>
      <c r="P917" s="16"/>
      <c r="Q917" s="16"/>
      <c r="R917" s="16"/>
      <c r="S917" s="16"/>
      <c r="T917" s="16"/>
      <c r="U917" s="16"/>
      <c r="V917" s="16"/>
    </row>
    <row r="918" spans="1:22" ht="13.2">
      <c r="A918" s="12"/>
      <c r="B918" s="46"/>
      <c r="C918" s="12"/>
      <c r="D918" s="15"/>
      <c r="E918" s="15"/>
      <c r="F918" s="15"/>
      <c r="G918" s="16"/>
      <c r="H918" s="16"/>
      <c r="I918" s="16"/>
      <c r="J918" s="16"/>
      <c r="K918" s="16"/>
      <c r="L918" s="16"/>
      <c r="M918" s="15"/>
      <c r="N918" s="16"/>
      <c r="O918" s="16"/>
      <c r="P918" s="16"/>
      <c r="Q918" s="16"/>
      <c r="R918" s="16"/>
      <c r="S918" s="16"/>
      <c r="T918" s="16"/>
      <c r="U918" s="16"/>
      <c r="V918" s="16"/>
    </row>
    <row r="919" spans="1:22" ht="13.2">
      <c r="A919" s="12"/>
      <c r="B919" s="46"/>
      <c r="C919" s="12"/>
      <c r="D919" s="15"/>
      <c r="E919" s="15"/>
      <c r="F919" s="15"/>
      <c r="G919" s="16"/>
      <c r="H919" s="16"/>
      <c r="I919" s="16"/>
      <c r="J919" s="16"/>
      <c r="K919" s="16"/>
      <c r="L919" s="16"/>
      <c r="M919" s="15"/>
      <c r="N919" s="16"/>
      <c r="O919" s="16"/>
      <c r="P919" s="16"/>
      <c r="Q919" s="16"/>
      <c r="R919" s="16"/>
      <c r="S919" s="16"/>
      <c r="T919" s="16"/>
      <c r="U919" s="16"/>
      <c r="V919" s="16"/>
    </row>
    <row r="920" spans="1:22" ht="13.2">
      <c r="A920" s="12"/>
      <c r="B920" s="46"/>
      <c r="C920" s="12"/>
      <c r="D920" s="15"/>
      <c r="E920" s="15"/>
      <c r="F920" s="15"/>
      <c r="G920" s="16"/>
      <c r="H920" s="16"/>
      <c r="I920" s="16"/>
      <c r="J920" s="16"/>
      <c r="K920" s="16"/>
      <c r="L920" s="16"/>
      <c r="M920" s="15"/>
      <c r="N920" s="16"/>
      <c r="O920" s="16"/>
      <c r="P920" s="16"/>
      <c r="Q920" s="16"/>
      <c r="R920" s="16"/>
      <c r="S920" s="16"/>
      <c r="T920" s="16"/>
      <c r="U920" s="16"/>
      <c r="V920" s="16"/>
    </row>
    <row r="921" spans="1:22" ht="13.2">
      <c r="A921" s="12"/>
      <c r="B921" s="46"/>
      <c r="C921" s="12"/>
      <c r="D921" s="15"/>
      <c r="E921" s="15"/>
      <c r="F921" s="15"/>
      <c r="G921" s="16"/>
      <c r="H921" s="16"/>
      <c r="I921" s="16"/>
      <c r="J921" s="16"/>
      <c r="K921" s="16"/>
      <c r="L921" s="16"/>
      <c r="M921" s="15"/>
      <c r="N921" s="16"/>
      <c r="O921" s="16"/>
      <c r="P921" s="16"/>
      <c r="Q921" s="16"/>
      <c r="R921" s="16"/>
      <c r="S921" s="16"/>
      <c r="T921" s="16"/>
      <c r="U921" s="16"/>
      <c r="V921" s="16"/>
    </row>
    <row r="922" spans="1:22" ht="13.2">
      <c r="A922" s="12"/>
      <c r="B922" s="46"/>
      <c r="C922" s="12"/>
      <c r="D922" s="15"/>
      <c r="E922" s="15"/>
      <c r="F922" s="15"/>
      <c r="G922" s="16"/>
      <c r="H922" s="16"/>
      <c r="I922" s="16"/>
      <c r="J922" s="16"/>
      <c r="K922" s="16"/>
      <c r="L922" s="16"/>
      <c r="M922" s="15"/>
      <c r="N922" s="16"/>
      <c r="O922" s="16"/>
      <c r="P922" s="16"/>
      <c r="Q922" s="16"/>
      <c r="R922" s="16"/>
      <c r="S922" s="16"/>
      <c r="T922" s="16"/>
      <c r="U922" s="16"/>
      <c r="V922" s="16"/>
    </row>
    <row r="923" spans="1:22" ht="13.2">
      <c r="A923" s="12"/>
      <c r="B923" s="46"/>
      <c r="C923" s="12"/>
      <c r="D923" s="15"/>
      <c r="E923" s="15"/>
      <c r="F923" s="15"/>
      <c r="G923" s="16"/>
      <c r="H923" s="16"/>
      <c r="I923" s="16"/>
      <c r="J923" s="16"/>
      <c r="K923" s="16"/>
      <c r="L923" s="16"/>
      <c r="M923" s="15"/>
      <c r="N923" s="16"/>
      <c r="O923" s="16"/>
      <c r="P923" s="16"/>
      <c r="Q923" s="16"/>
      <c r="R923" s="16"/>
      <c r="S923" s="16"/>
      <c r="T923" s="16"/>
      <c r="U923" s="16"/>
      <c r="V923" s="16"/>
    </row>
    <row r="924" spans="1:22" ht="13.2">
      <c r="A924" s="12"/>
      <c r="B924" s="46"/>
      <c r="C924" s="12"/>
      <c r="D924" s="15"/>
      <c r="E924" s="15"/>
      <c r="F924" s="15"/>
      <c r="G924" s="16"/>
      <c r="H924" s="16"/>
      <c r="I924" s="16"/>
      <c r="J924" s="16"/>
      <c r="K924" s="16"/>
      <c r="L924" s="16"/>
      <c r="M924" s="15"/>
      <c r="N924" s="16"/>
      <c r="O924" s="16"/>
      <c r="P924" s="16"/>
      <c r="Q924" s="16"/>
      <c r="R924" s="16"/>
      <c r="S924" s="16"/>
      <c r="T924" s="16"/>
      <c r="U924" s="16"/>
      <c r="V924" s="16"/>
    </row>
    <row r="925" spans="1:22" ht="13.2">
      <c r="A925" s="12"/>
      <c r="B925" s="46"/>
      <c r="C925" s="12"/>
      <c r="D925" s="15"/>
      <c r="E925" s="15"/>
      <c r="F925" s="15"/>
      <c r="G925" s="16"/>
      <c r="H925" s="16"/>
      <c r="I925" s="16"/>
      <c r="J925" s="16"/>
      <c r="K925" s="16"/>
      <c r="L925" s="16"/>
      <c r="M925" s="15"/>
      <c r="N925" s="16"/>
      <c r="O925" s="16"/>
      <c r="P925" s="16"/>
      <c r="Q925" s="16"/>
      <c r="R925" s="16"/>
      <c r="S925" s="16"/>
      <c r="T925" s="16"/>
      <c r="U925" s="16"/>
      <c r="V925" s="16"/>
    </row>
    <row r="926" spans="1:22" ht="13.2">
      <c r="A926" s="12"/>
      <c r="B926" s="46"/>
      <c r="C926" s="12"/>
      <c r="D926" s="15"/>
      <c r="E926" s="15"/>
      <c r="F926" s="15"/>
      <c r="G926" s="16"/>
      <c r="H926" s="16"/>
      <c r="I926" s="16"/>
      <c r="J926" s="16"/>
      <c r="K926" s="16"/>
      <c r="L926" s="16"/>
      <c r="M926" s="15"/>
      <c r="N926" s="16"/>
      <c r="O926" s="16"/>
      <c r="P926" s="16"/>
      <c r="Q926" s="16"/>
      <c r="R926" s="16"/>
      <c r="S926" s="16"/>
      <c r="T926" s="16"/>
      <c r="U926" s="16"/>
      <c r="V926" s="16"/>
    </row>
    <row r="927" spans="1:22" ht="13.2">
      <c r="A927" s="12"/>
      <c r="B927" s="46"/>
      <c r="C927" s="12"/>
      <c r="D927" s="15"/>
      <c r="E927" s="15"/>
      <c r="F927" s="15"/>
      <c r="G927" s="16"/>
      <c r="H927" s="16"/>
      <c r="I927" s="16"/>
      <c r="J927" s="16"/>
      <c r="K927" s="16"/>
      <c r="L927" s="16"/>
      <c r="M927" s="15"/>
      <c r="N927" s="16"/>
      <c r="O927" s="16"/>
      <c r="P927" s="16"/>
      <c r="Q927" s="16"/>
      <c r="R927" s="16"/>
      <c r="S927" s="16"/>
      <c r="T927" s="16"/>
      <c r="U927" s="16"/>
      <c r="V927" s="16"/>
    </row>
    <row r="928" spans="1:22" ht="13.2">
      <c r="A928" s="12"/>
      <c r="B928" s="46"/>
      <c r="C928" s="12"/>
      <c r="D928" s="15"/>
      <c r="E928" s="15"/>
      <c r="F928" s="15"/>
      <c r="G928" s="16"/>
      <c r="H928" s="16"/>
      <c r="I928" s="16"/>
      <c r="J928" s="16"/>
      <c r="K928" s="16"/>
      <c r="L928" s="16"/>
      <c r="M928" s="15"/>
      <c r="N928" s="16"/>
      <c r="O928" s="16"/>
      <c r="P928" s="16"/>
      <c r="Q928" s="16"/>
      <c r="R928" s="16"/>
      <c r="S928" s="16"/>
      <c r="T928" s="16"/>
      <c r="U928" s="16"/>
      <c r="V928" s="16"/>
    </row>
    <row r="929" spans="1:22" ht="13.2">
      <c r="A929" s="12"/>
      <c r="B929" s="46"/>
      <c r="C929" s="12"/>
      <c r="D929" s="15"/>
      <c r="E929" s="15"/>
      <c r="F929" s="15"/>
      <c r="G929" s="16"/>
      <c r="H929" s="16"/>
      <c r="I929" s="16"/>
      <c r="J929" s="16"/>
      <c r="K929" s="16"/>
      <c r="L929" s="16"/>
      <c r="M929" s="15"/>
      <c r="N929" s="16"/>
      <c r="O929" s="16"/>
      <c r="P929" s="16"/>
      <c r="Q929" s="16"/>
      <c r="R929" s="16"/>
      <c r="S929" s="16"/>
      <c r="T929" s="16"/>
      <c r="U929" s="16"/>
      <c r="V929" s="16"/>
    </row>
    <row r="930" spans="1:22" ht="13.2">
      <c r="A930" s="12"/>
      <c r="B930" s="46"/>
      <c r="C930" s="12"/>
      <c r="D930" s="15"/>
      <c r="E930" s="15"/>
      <c r="F930" s="15"/>
      <c r="G930" s="16"/>
      <c r="H930" s="16"/>
      <c r="I930" s="16"/>
      <c r="J930" s="16"/>
      <c r="K930" s="16"/>
      <c r="L930" s="16"/>
      <c r="M930" s="15"/>
      <c r="N930" s="16"/>
      <c r="O930" s="16"/>
      <c r="P930" s="16"/>
      <c r="Q930" s="16"/>
      <c r="R930" s="16"/>
      <c r="S930" s="16"/>
      <c r="T930" s="16"/>
      <c r="U930" s="16"/>
      <c r="V930" s="16"/>
    </row>
    <row r="931" spans="1:22" ht="13.2">
      <c r="A931" s="12"/>
      <c r="B931" s="46"/>
      <c r="C931" s="12"/>
      <c r="D931" s="15"/>
      <c r="E931" s="15"/>
      <c r="F931" s="15"/>
      <c r="G931" s="16"/>
      <c r="H931" s="16"/>
      <c r="I931" s="16"/>
      <c r="J931" s="16"/>
      <c r="K931" s="16"/>
      <c r="L931" s="16"/>
      <c r="M931" s="15"/>
      <c r="N931" s="16"/>
      <c r="O931" s="16"/>
      <c r="P931" s="16"/>
      <c r="Q931" s="16"/>
      <c r="R931" s="16"/>
      <c r="S931" s="16"/>
      <c r="T931" s="16"/>
      <c r="U931" s="16"/>
      <c r="V931" s="16"/>
    </row>
    <row r="932" spans="1:22" ht="13.2">
      <c r="A932" s="12"/>
      <c r="B932" s="46"/>
      <c r="C932" s="12"/>
      <c r="D932" s="15"/>
      <c r="E932" s="15"/>
      <c r="F932" s="15"/>
      <c r="G932" s="16"/>
      <c r="H932" s="16"/>
      <c r="I932" s="16"/>
      <c r="J932" s="16"/>
      <c r="K932" s="16"/>
      <c r="L932" s="16"/>
      <c r="M932" s="15"/>
      <c r="N932" s="16"/>
      <c r="O932" s="16"/>
      <c r="P932" s="16"/>
      <c r="Q932" s="16"/>
      <c r="R932" s="16"/>
      <c r="S932" s="16"/>
      <c r="T932" s="16"/>
      <c r="U932" s="16"/>
      <c r="V932" s="16"/>
    </row>
    <row r="933" spans="1:22" ht="13.2">
      <c r="A933" s="12"/>
      <c r="B933" s="46"/>
      <c r="C933" s="12"/>
      <c r="D933" s="15"/>
      <c r="E933" s="15"/>
      <c r="F933" s="15"/>
      <c r="G933" s="16"/>
      <c r="H933" s="16"/>
      <c r="I933" s="16"/>
      <c r="J933" s="16"/>
      <c r="K933" s="16"/>
      <c r="L933" s="16"/>
      <c r="M933" s="15"/>
      <c r="N933" s="16"/>
      <c r="O933" s="16"/>
      <c r="P933" s="16"/>
      <c r="Q933" s="16"/>
      <c r="R933" s="16"/>
      <c r="S933" s="16"/>
      <c r="T933" s="16"/>
      <c r="U933" s="16"/>
      <c r="V933" s="16"/>
    </row>
    <row r="934" spans="1:22" ht="13.2">
      <c r="A934" s="12"/>
      <c r="B934" s="46"/>
      <c r="C934" s="12"/>
      <c r="D934" s="15"/>
      <c r="E934" s="15"/>
      <c r="F934" s="15"/>
      <c r="G934" s="16"/>
      <c r="H934" s="16"/>
      <c r="I934" s="16"/>
      <c r="J934" s="16"/>
      <c r="K934" s="16"/>
      <c r="L934" s="16"/>
      <c r="M934" s="15"/>
      <c r="N934" s="16"/>
      <c r="O934" s="16"/>
      <c r="P934" s="16"/>
      <c r="Q934" s="16"/>
      <c r="R934" s="16"/>
      <c r="S934" s="16"/>
      <c r="T934" s="16"/>
      <c r="U934" s="16"/>
      <c r="V934" s="16"/>
    </row>
    <row r="935" spans="1:22" ht="13.2">
      <c r="A935" s="12"/>
      <c r="B935" s="46"/>
      <c r="C935" s="12"/>
      <c r="D935" s="15"/>
      <c r="E935" s="15"/>
      <c r="F935" s="15"/>
      <c r="G935" s="16"/>
      <c r="H935" s="16"/>
      <c r="I935" s="16"/>
      <c r="J935" s="16"/>
      <c r="K935" s="16"/>
      <c r="L935" s="16"/>
      <c r="M935" s="15"/>
      <c r="N935" s="16"/>
      <c r="O935" s="16"/>
      <c r="P935" s="16"/>
      <c r="Q935" s="16"/>
      <c r="R935" s="16"/>
      <c r="S935" s="16"/>
      <c r="T935" s="16"/>
      <c r="U935" s="16"/>
      <c r="V935" s="16"/>
    </row>
    <row r="936" spans="1:22" ht="13.2">
      <c r="A936" s="12"/>
      <c r="B936" s="46"/>
      <c r="C936" s="12"/>
      <c r="D936" s="15"/>
      <c r="E936" s="15"/>
      <c r="F936" s="15"/>
      <c r="G936" s="16"/>
      <c r="H936" s="16"/>
      <c r="I936" s="16"/>
      <c r="J936" s="16"/>
      <c r="K936" s="16"/>
      <c r="L936" s="16"/>
      <c r="M936" s="15"/>
      <c r="N936" s="16"/>
      <c r="O936" s="16"/>
      <c r="P936" s="16"/>
      <c r="Q936" s="16"/>
      <c r="R936" s="16"/>
      <c r="S936" s="16"/>
      <c r="T936" s="16"/>
      <c r="U936" s="16"/>
      <c r="V936" s="16"/>
    </row>
    <row r="937" spans="1:22" ht="13.2">
      <c r="A937" s="12"/>
      <c r="B937" s="46"/>
      <c r="C937" s="12"/>
      <c r="D937" s="15"/>
      <c r="E937" s="15"/>
      <c r="F937" s="15"/>
      <c r="G937" s="16"/>
      <c r="H937" s="16"/>
      <c r="I937" s="16"/>
      <c r="J937" s="16"/>
      <c r="K937" s="16"/>
      <c r="L937" s="16"/>
      <c r="M937" s="15"/>
      <c r="N937" s="16"/>
      <c r="O937" s="16"/>
      <c r="P937" s="16"/>
      <c r="Q937" s="16"/>
      <c r="R937" s="16"/>
      <c r="S937" s="16"/>
      <c r="T937" s="16"/>
      <c r="U937" s="16"/>
      <c r="V937" s="16"/>
    </row>
    <row r="938" spans="1:22" ht="13.2">
      <c r="A938" s="12"/>
      <c r="B938" s="46"/>
      <c r="C938" s="12"/>
      <c r="D938" s="15"/>
      <c r="E938" s="15"/>
      <c r="F938" s="15"/>
      <c r="G938" s="16"/>
      <c r="H938" s="16"/>
      <c r="I938" s="16"/>
      <c r="J938" s="16"/>
      <c r="K938" s="16"/>
      <c r="L938" s="16"/>
      <c r="M938" s="15"/>
      <c r="N938" s="16"/>
      <c r="O938" s="16"/>
      <c r="P938" s="16"/>
      <c r="Q938" s="16"/>
      <c r="R938" s="16"/>
      <c r="S938" s="16"/>
      <c r="T938" s="16"/>
      <c r="U938" s="16"/>
      <c r="V938" s="16"/>
    </row>
    <row r="939" spans="1:22" ht="13.2">
      <c r="A939" s="12"/>
      <c r="B939" s="46"/>
      <c r="C939" s="12"/>
      <c r="D939" s="15"/>
      <c r="E939" s="15"/>
      <c r="F939" s="15"/>
      <c r="G939" s="16"/>
      <c r="H939" s="16"/>
      <c r="I939" s="16"/>
      <c r="J939" s="16"/>
      <c r="K939" s="16"/>
      <c r="L939" s="16"/>
      <c r="M939" s="15"/>
      <c r="N939" s="16"/>
      <c r="O939" s="16"/>
      <c r="P939" s="16"/>
      <c r="Q939" s="16"/>
      <c r="R939" s="16"/>
      <c r="S939" s="16"/>
      <c r="T939" s="16"/>
      <c r="U939" s="16"/>
      <c r="V939" s="16"/>
    </row>
    <row r="940" spans="1:22" ht="13.2">
      <c r="A940" s="12"/>
      <c r="B940" s="46"/>
      <c r="C940" s="12"/>
      <c r="D940" s="15"/>
      <c r="E940" s="15"/>
      <c r="F940" s="15"/>
      <c r="G940" s="16"/>
      <c r="H940" s="16"/>
      <c r="I940" s="16"/>
      <c r="J940" s="16"/>
      <c r="K940" s="16"/>
      <c r="L940" s="16"/>
      <c r="M940" s="15"/>
      <c r="N940" s="16"/>
      <c r="O940" s="16"/>
      <c r="P940" s="16"/>
      <c r="Q940" s="16"/>
      <c r="R940" s="16"/>
      <c r="S940" s="16"/>
      <c r="T940" s="16"/>
      <c r="U940" s="16"/>
      <c r="V940" s="16"/>
    </row>
    <row r="941" spans="1:22" ht="13.2">
      <c r="A941" s="12"/>
      <c r="B941" s="46"/>
      <c r="C941" s="12"/>
      <c r="D941" s="15"/>
      <c r="E941" s="15"/>
      <c r="F941" s="15"/>
      <c r="G941" s="16"/>
      <c r="H941" s="16"/>
      <c r="I941" s="16"/>
      <c r="J941" s="16"/>
      <c r="K941" s="16"/>
      <c r="L941" s="16"/>
      <c r="M941" s="15"/>
      <c r="N941" s="16"/>
      <c r="O941" s="16"/>
      <c r="P941" s="16"/>
      <c r="Q941" s="16"/>
      <c r="R941" s="16"/>
      <c r="S941" s="16"/>
      <c r="T941" s="16"/>
      <c r="U941" s="16"/>
      <c r="V941" s="16"/>
    </row>
    <row r="942" spans="1:22" ht="13.2">
      <c r="A942" s="12"/>
      <c r="B942" s="46"/>
      <c r="C942" s="12"/>
      <c r="D942" s="15"/>
      <c r="E942" s="15"/>
      <c r="F942" s="15"/>
      <c r="G942" s="16"/>
      <c r="H942" s="16"/>
      <c r="I942" s="16"/>
      <c r="J942" s="16"/>
      <c r="K942" s="16"/>
      <c r="L942" s="16"/>
      <c r="M942" s="15"/>
      <c r="N942" s="16"/>
      <c r="O942" s="16"/>
      <c r="P942" s="16"/>
      <c r="Q942" s="16"/>
      <c r="R942" s="16"/>
      <c r="S942" s="16"/>
      <c r="T942" s="16"/>
      <c r="U942" s="16"/>
      <c r="V942" s="16"/>
    </row>
    <row r="943" spans="1:22" ht="13.2">
      <c r="A943" s="12"/>
      <c r="B943" s="46"/>
      <c r="C943" s="12"/>
      <c r="D943" s="15"/>
      <c r="E943" s="15"/>
      <c r="F943" s="15"/>
      <c r="G943" s="16"/>
      <c r="H943" s="16"/>
      <c r="I943" s="16"/>
      <c r="J943" s="16"/>
      <c r="K943" s="16"/>
      <c r="L943" s="16"/>
      <c r="M943" s="15"/>
      <c r="N943" s="16"/>
      <c r="O943" s="16"/>
      <c r="P943" s="16"/>
      <c r="Q943" s="16"/>
      <c r="R943" s="16"/>
      <c r="S943" s="16"/>
      <c r="T943" s="16"/>
      <c r="U943" s="16"/>
      <c r="V943" s="16"/>
    </row>
    <row r="944" spans="1:22" ht="13.2">
      <c r="A944" s="12"/>
      <c r="B944" s="46"/>
      <c r="C944" s="12"/>
      <c r="D944" s="15"/>
      <c r="E944" s="15"/>
      <c r="F944" s="15"/>
      <c r="G944" s="16"/>
      <c r="H944" s="16"/>
      <c r="I944" s="16"/>
      <c r="J944" s="16"/>
      <c r="K944" s="16"/>
      <c r="L944" s="16"/>
      <c r="M944" s="15"/>
      <c r="N944" s="16"/>
      <c r="O944" s="16"/>
      <c r="P944" s="16"/>
      <c r="Q944" s="16"/>
      <c r="R944" s="16"/>
      <c r="S944" s="16"/>
      <c r="T944" s="16"/>
      <c r="U944" s="16"/>
      <c r="V944" s="16"/>
    </row>
    <row r="945" spans="1:22" ht="13.2">
      <c r="A945" s="12"/>
      <c r="B945" s="46"/>
      <c r="C945" s="12"/>
      <c r="D945" s="15"/>
      <c r="E945" s="15"/>
      <c r="F945" s="15"/>
      <c r="G945" s="16"/>
      <c r="H945" s="16"/>
      <c r="I945" s="16"/>
      <c r="J945" s="16"/>
      <c r="K945" s="16"/>
      <c r="L945" s="16"/>
      <c r="M945" s="15"/>
      <c r="N945" s="16"/>
      <c r="O945" s="16"/>
      <c r="P945" s="16"/>
      <c r="Q945" s="16"/>
      <c r="R945" s="16"/>
      <c r="S945" s="16"/>
      <c r="T945" s="16"/>
      <c r="U945" s="16"/>
      <c r="V945" s="16"/>
    </row>
    <row r="946" spans="1:22" ht="13.2">
      <c r="A946" s="12"/>
      <c r="B946" s="46"/>
      <c r="C946" s="12"/>
      <c r="D946" s="15"/>
      <c r="E946" s="15"/>
      <c r="F946" s="15"/>
      <c r="G946" s="16"/>
      <c r="H946" s="16"/>
      <c r="I946" s="16"/>
      <c r="J946" s="16"/>
      <c r="K946" s="16"/>
      <c r="L946" s="16"/>
      <c r="M946" s="15"/>
      <c r="N946" s="16"/>
      <c r="O946" s="16"/>
      <c r="P946" s="16"/>
      <c r="Q946" s="16"/>
      <c r="R946" s="16"/>
      <c r="S946" s="16"/>
      <c r="T946" s="16"/>
      <c r="U946" s="16"/>
      <c r="V946" s="16"/>
    </row>
    <row r="947" spans="1:22" ht="13.2">
      <c r="A947" s="12"/>
      <c r="B947" s="46"/>
      <c r="C947" s="12"/>
      <c r="D947" s="15"/>
      <c r="E947" s="15"/>
      <c r="F947" s="15"/>
      <c r="G947" s="16"/>
      <c r="H947" s="16"/>
      <c r="I947" s="16"/>
      <c r="J947" s="16"/>
      <c r="K947" s="16"/>
      <c r="L947" s="16"/>
      <c r="M947" s="15"/>
      <c r="N947" s="16"/>
      <c r="O947" s="16"/>
      <c r="P947" s="16"/>
      <c r="Q947" s="16"/>
      <c r="R947" s="16"/>
      <c r="S947" s="16"/>
      <c r="T947" s="16"/>
      <c r="U947" s="16"/>
      <c r="V947" s="16"/>
    </row>
    <row r="948" spans="1:22" ht="13.2">
      <c r="A948" s="12"/>
      <c r="B948" s="46"/>
      <c r="C948" s="12"/>
      <c r="D948" s="15"/>
      <c r="E948" s="15"/>
      <c r="F948" s="15"/>
      <c r="G948" s="16"/>
      <c r="H948" s="16"/>
      <c r="I948" s="16"/>
      <c r="J948" s="16"/>
      <c r="K948" s="16"/>
      <c r="L948" s="16"/>
      <c r="M948" s="15"/>
      <c r="N948" s="16"/>
      <c r="O948" s="16"/>
      <c r="P948" s="16"/>
      <c r="Q948" s="16"/>
      <c r="R948" s="16"/>
      <c r="S948" s="16"/>
      <c r="T948" s="16"/>
      <c r="U948" s="16"/>
      <c r="V948" s="16"/>
    </row>
    <row r="949" spans="1:22" ht="13.2">
      <c r="A949" s="12"/>
      <c r="B949" s="46"/>
      <c r="C949" s="12"/>
      <c r="D949" s="15"/>
      <c r="E949" s="15"/>
      <c r="F949" s="15"/>
      <c r="G949" s="16"/>
      <c r="H949" s="16"/>
      <c r="I949" s="16"/>
      <c r="J949" s="16"/>
      <c r="K949" s="16"/>
      <c r="L949" s="16"/>
      <c r="M949" s="15"/>
      <c r="N949" s="16"/>
      <c r="O949" s="16"/>
      <c r="P949" s="16"/>
      <c r="Q949" s="16"/>
      <c r="R949" s="16"/>
      <c r="S949" s="16"/>
      <c r="T949" s="16"/>
      <c r="U949" s="16"/>
      <c r="V949" s="16"/>
    </row>
    <row r="950" spans="1:22" ht="13.2">
      <c r="A950" s="12"/>
      <c r="B950" s="46"/>
      <c r="C950" s="12"/>
      <c r="D950" s="15"/>
      <c r="E950" s="15"/>
      <c r="F950" s="15"/>
      <c r="G950" s="16"/>
      <c r="H950" s="16"/>
      <c r="I950" s="16"/>
      <c r="J950" s="16"/>
      <c r="K950" s="16"/>
      <c r="L950" s="16"/>
      <c r="M950" s="15"/>
      <c r="N950" s="16"/>
      <c r="O950" s="16"/>
      <c r="P950" s="16"/>
      <c r="Q950" s="16"/>
      <c r="R950" s="16"/>
      <c r="S950" s="16"/>
      <c r="T950" s="16"/>
      <c r="U950" s="16"/>
      <c r="V950" s="16"/>
    </row>
    <row r="951" spans="1:22" ht="13.2">
      <c r="A951" s="12"/>
      <c r="B951" s="46"/>
      <c r="C951" s="12"/>
      <c r="D951" s="15"/>
      <c r="E951" s="15"/>
      <c r="F951" s="15"/>
      <c r="G951" s="16"/>
      <c r="H951" s="16"/>
      <c r="I951" s="16"/>
      <c r="J951" s="16"/>
      <c r="K951" s="16"/>
      <c r="L951" s="16"/>
      <c r="M951" s="15"/>
      <c r="N951" s="16"/>
      <c r="O951" s="16"/>
      <c r="P951" s="16"/>
      <c r="Q951" s="16"/>
      <c r="R951" s="16"/>
      <c r="S951" s="16"/>
      <c r="T951" s="16"/>
      <c r="U951" s="16"/>
      <c r="V951" s="16"/>
    </row>
    <row r="952" spans="1:22" ht="13.2">
      <c r="A952" s="12"/>
      <c r="B952" s="46"/>
      <c r="C952" s="12"/>
      <c r="D952" s="15"/>
      <c r="E952" s="15"/>
      <c r="F952" s="15"/>
      <c r="G952" s="16"/>
      <c r="H952" s="16"/>
      <c r="I952" s="16"/>
      <c r="J952" s="16"/>
      <c r="K952" s="16"/>
      <c r="L952" s="16"/>
      <c r="M952" s="15"/>
      <c r="N952" s="16"/>
      <c r="O952" s="16"/>
      <c r="P952" s="16"/>
      <c r="Q952" s="16"/>
      <c r="R952" s="16"/>
      <c r="S952" s="16"/>
      <c r="T952" s="16"/>
      <c r="U952" s="16"/>
      <c r="V952" s="16"/>
    </row>
    <row r="953" spans="1:22" ht="13.2">
      <c r="A953" s="12"/>
      <c r="B953" s="46"/>
      <c r="C953" s="12"/>
      <c r="D953" s="15"/>
      <c r="E953" s="15"/>
      <c r="F953" s="15"/>
      <c r="G953" s="16"/>
      <c r="H953" s="16"/>
      <c r="I953" s="16"/>
      <c r="J953" s="16"/>
      <c r="K953" s="16"/>
      <c r="L953" s="16"/>
      <c r="M953" s="15"/>
      <c r="N953" s="16"/>
      <c r="O953" s="16"/>
      <c r="P953" s="16"/>
      <c r="Q953" s="16"/>
      <c r="R953" s="16"/>
      <c r="S953" s="16"/>
      <c r="T953" s="16"/>
      <c r="U953" s="16"/>
      <c r="V953" s="16"/>
    </row>
    <row r="954" spans="1:22" ht="13.2">
      <c r="A954" s="12"/>
      <c r="B954" s="46"/>
      <c r="C954" s="12"/>
      <c r="D954" s="15"/>
      <c r="E954" s="15"/>
      <c r="F954" s="15"/>
      <c r="G954" s="16"/>
      <c r="H954" s="16"/>
      <c r="I954" s="16"/>
      <c r="J954" s="16"/>
      <c r="K954" s="16"/>
      <c r="L954" s="16"/>
      <c r="M954" s="15"/>
      <c r="N954" s="16"/>
      <c r="O954" s="16"/>
      <c r="P954" s="16"/>
      <c r="Q954" s="16"/>
      <c r="R954" s="16"/>
      <c r="S954" s="16"/>
      <c r="T954" s="16"/>
      <c r="U954" s="16"/>
      <c r="V954" s="16"/>
    </row>
    <row r="955" spans="1:22" ht="13.2">
      <c r="A955" s="12"/>
      <c r="B955" s="46"/>
      <c r="C955" s="12"/>
      <c r="D955" s="15"/>
      <c r="E955" s="15"/>
      <c r="F955" s="15"/>
      <c r="G955" s="16"/>
      <c r="H955" s="16"/>
      <c r="I955" s="16"/>
      <c r="J955" s="16"/>
      <c r="K955" s="16"/>
      <c r="L955" s="16"/>
      <c r="M955" s="15"/>
      <c r="N955" s="16"/>
      <c r="O955" s="16"/>
      <c r="P955" s="16"/>
      <c r="Q955" s="16"/>
      <c r="R955" s="16"/>
      <c r="S955" s="16"/>
      <c r="T955" s="16"/>
      <c r="U955" s="16"/>
      <c r="V955" s="16"/>
    </row>
    <row r="956" spans="1:22" ht="13.2">
      <c r="A956" s="12"/>
      <c r="B956" s="46"/>
      <c r="C956" s="12"/>
      <c r="D956" s="15"/>
      <c r="E956" s="15"/>
      <c r="F956" s="15"/>
      <c r="G956" s="16"/>
      <c r="H956" s="16"/>
      <c r="I956" s="16"/>
      <c r="J956" s="16"/>
      <c r="K956" s="16"/>
      <c r="L956" s="16"/>
      <c r="M956" s="15"/>
      <c r="N956" s="16"/>
      <c r="O956" s="16"/>
      <c r="P956" s="16"/>
      <c r="Q956" s="16"/>
      <c r="R956" s="16"/>
      <c r="S956" s="16"/>
      <c r="T956" s="16"/>
      <c r="U956" s="16"/>
      <c r="V956" s="16"/>
    </row>
    <row r="957" spans="1:22" ht="13.2">
      <c r="A957" s="12"/>
      <c r="B957" s="46"/>
      <c r="C957" s="12"/>
      <c r="D957" s="15"/>
      <c r="E957" s="15"/>
      <c r="F957" s="15"/>
      <c r="G957" s="16"/>
      <c r="H957" s="16"/>
      <c r="I957" s="16"/>
      <c r="J957" s="16"/>
      <c r="K957" s="16"/>
      <c r="L957" s="16"/>
      <c r="M957" s="15"/>
      <c r="N957" s="16"/>
      <c r="O957" s="16"/>
      <c r="P957" s="16"/>
      <c r="Q957" s="16"/>
      <c r="R957" s="16"/>
      <c r="S957" s="16"/>
      <c r="T957" s="16"/>
      <c r="U957" s="16"/>
      <c r="V957" s="16"/>
    </row>
    <row r="958" spans="1:22" ht="13.2">
      <c r="A958" s="12"/>
      <c r="B958" s="46"/>
      <c r="C958" s="12"/>
      <c r="D958" s="15"/>
      <c r="E958" s="15"/>
      <c r="F958" s="15"/>
      <c r="G958" s="16"/>
      <c r="H958" s="16"/>
      <c r="I958" s="16"/>
      <c r="J958" s="16"/>
      <c r="K958" s="16"/>
      <c r="L958" s="16"/>
      <c r="M958" s="15"/>
      <c r="N958" s="16"/>
      <c r="O958" s="16"/>
      <c r="P958" s="16"/>
      <c r="Q958" s="16"/>
      <c r="R958" s="16"/>
      <c r="S958" s="16"/>
      <c r="T958" s="16"/>
      <c r="U958" s="16"/>
      <c r="V958" s="16"/>
    </row>
    <row r="959" spans="1:22" ht="13.2">
      <c r="A959" s="12"/>
      <c r="B959" s="46"/>
      <c r="C959" s="12"/>
      <c r="D959" s="15"/>
      <c r="E959" s="15"/>
      <c r="F959" s="15"/>
      <c r="G959" s="16"/>
      <c r="H959" s="16"/>
      <c r="I959" s="16"/>
      <c r="J959" s="16"/>
      <c r="K959" s="16"/>
      <c r="L959" s="16"/>
      <c r="M959" s="15"/>
      <c r="N959" s="16"/>
      <c r="O959" s="16"/>
      <c r="P959" s="16"/>
      <c r="Q959" s="16"/>
      <c r="R959" s="16"/>
      <c r="S959" s="16"/>
      <c r="T959" s="16"/>
      <c r="U959" s="16"/>
      <c r="V959" s="16"/>
    </row>
    <row r="960" spans="1:22" ht="13.2">
      <c r="A960" s="12"/>
      <c r="B960" s="46"/>
      <c r="C960" s="12"/>
      <c r="D960" s="15"/>
      <c r="E960" s="15"/>
      <c r="F960" s="15"/>
      <c r="G960" s="16"/>
      <c r="H960" s="16"/>
      <c r="I960" s="16"/>
      <c r="J960" s="16"/>
      <c r="K960" s="16"/>
      <c r="L960" s="16"/>
      <c r="M960" s="15"/>
      <c r="N960" s="16"/>
      <c r="O960" s="16"/>
      <c r="P960" s="16"/>
      <c r="Q960" s="16"/>
      <c r="R960" s="16"/>
      <c r="S960" s="16"/>
      <c r="T960" s="16"/>
      <c r="U960" s="16"/>
      <c r="V960" s="16"/>
    </row>
    <row r="961" spans="1:22" ht="13.2">
      <c r="A961" s="12"/>
      <c r="B961" s="46"/>
      <c r="C961" s="12"/>
      <c r="D961" s="15"/>
      <c r="E961" s="15"/>
      <c r="F961" s="15"/>
      <c r="G961" s="16"/>
      <c r="H961" s="16"/>
      <c r="I961" s="16"/>
      <c r="J961" s="16"/>
      <c r="K961" s="16"/>
      <c r="L961" s="16"/>
      <c r="M961" s="15"/>
      <c r="N961" s="16"/>
      <c r="O961" s="16"/>
      <c r="P961" s="16"/>
      <c r="Q961" s="16"/>
      <c r="R961" s="16"/>
      <c r="S961" s="16"/>
      <c r="T961" s="16"/>
      <c r="U961" s="16"/>
      <c r="V961" s="16"/>
    </row>
    <row r="962" spans="1:22" ht="13.2">
      <c r="A962" s="12"/>
      <c r="B962" s="46"/>
      <c r="C962" s="12"/>
      <c r="D962" s="15"/>
      <c r="E962" s="15"/>
      <c r="F962" s="15"/>
      <c r="G962" s="16"/>
      <c r="H962" s="16"/>
      <c r="I962" s="16"/>
      <c r="J962" s="16"/>
      <c r="K962" s="16"/>
      <c r="L962" s="16"/>
      <c r="M962" s="15"/>
      <c r="N962" s="16"/>
      <c r="O962" s="16"/>
      <c r="P962" s="16"/>
      <c r="Q962" s="16"/>
      <c r="R962" s="16"/>
      <c r="S962" s="16"/>
      <c r="T962" s="16"/>
      <c r="U962" s="16"/>
      <c r="V962" s="16"/>
    </row>
    <row r="963" spans="1:22" ht="13.2">
      <c r="A963" s="12"/>
      <c r="B963" s="46"/>
      <c r="C963" s="12"/>
      <c r="D963" s="15"/>
      <c r="E963" s="15"/>
      <c r="F963" s="15"/>
      <c r="G963" s="16"/>
      <c r="H963" s="16"/>
      <c r="I963" s="16"/>
      <c r="J963" s="16"/>
      <c r="K963" s="16"/>
      <c r="L963" s="16"/>
      <c r="M963" s="15"/>
      <c r="N963" s="16"/>
      <c r="O963" s="16"/>
      <c r="P963" s="16"/>
      <c r="Q963" s="16"/>
      <c r="R963" s="16"/>
      <c r="S963" s="16"/>
      <c r="T963" s="16"/>
      <c r="U963" s="16"/>
      <c r="V963" s="16"/>
    </row>
    <row r="964" spans="1:22" ht="13.2">
      <c r="A964" s="12"/>
      <c r="B964" s="46"/>
      <c r="C964" s="12"/>
      <c r="D964" s="15"/>
      <c r="E964" s="15"/>
      <c r="F964" s="15"/>
      <c r="G964" s="16"/>
      <c r="H964" s="16"/>
      <c r="I964" s="16"/>
      <c r="J964" s="16"/>
      <c r="K964" s="16"/>
      <c r="L964" s="16"/>
      <c r="M964" s="15"/>
      <c r="N964" s="16"/>
      <c r="O964" s="16"/>
      <c r="P964" s="16"/>
      <c r="Q964" s="16"/>
      <c r="R964" s="16"/>
      <c r="S964" s="16"/>
      <c r="T964" s="16"/>
      <c r="U964" s="16"/>
      <c r="V964" s="16"/>
    </row>
    <row r="965" spans="1:22" ht="13.2">
      <c r="A965" s="12"/>
      <c r="B965" s="46"/>
      <c r="C965" s="12"/>
      <c r="D965" s="15"/>
      <c r="E965" s="15"/>
      <c r="F965" s="15"/>
      <c r="G965" s="16"/>
      <c r="H965" s="16"/>
      <c r="I965" s="16"/>
      <c r="J965" s="16"/>
      <c r="K965" s="16"/>
      <c r="L965" s="16"/>
      <c r="M965" s="15"/>
      <c r="N965" s="16"/>
      <c r="O965" s="16"/>
      <c r="P965" s="16"/>
      <c r="Q965" s="16"/>
      <c r="R965" s="16"/>
      <c r="S965" s="16"/>
      <c r="T965" s="16"/>
      <c r="U965" s="16"/>
      <c r="V965" s="16"/>
    </row>
    <row r="966" spans="1:22" ht="13.2">
      <c r="A966" s="12"/>
      <c r="B966" s="46"/>
      <c r="C966" s="12"/>
      <c r="D966" s="15"/>
      <c r="E966" s="15"/>
      <c r="F966" s="15"/>
      <c r="G966" s="16"/>
      <c r="H966" s="16"/>
      <c r="I966" s="16"/>
      <c r="J966" s="16"/>
      <c r="K966" s="16"/>
      <c r="L966" s="16"/>
      <c r="M966" s="15"/>
      <c r="N966" s="16"/>
      <c r="O966" s="16"/>
      <c r="P966" s="16"/>
      <c r="Q966" s="16"/>
      <c r="R966" s="16"/>
      <c r="S966" s="16"/>
      <c r="T966" s="16"/>
      <c r="U966" s="16"/>
      <c r="V966" s="16"/>
    </row>
    <row r="967" spans="1:22" ht="13.2">
      <c r="A967" s="12"/>
      <c r="B967" s="46"/>
      <c r="C967" s="12"/>
      <c r="D967" s="15"/>
      <c r="E967" s="15"/>
      <c r="F967" s="15"/>
      <c r="G967" s="16"/>
      <c r="H967" s="16"/>
      <c r="I967" s="16"/>
      <c r="J967" s="16"/>
      <c r="K967" s="16"/>
      <c r="L967" s="16"/>
      <c r="M967" s="15"/>
      <c r="N967" s="16"/>
      <c r="O967" s="16"/>
      <c r="P967" s="16"/>
      <c r="Q967" s="16"/>
      <c r="R967" s="16"/>
      <c r="S967" s="16"/>
      <c r="T967" s="16"/>
      <c r="U967" s="16"/>
      <c r="V967" s="16"/>
    </row>
    <row r="968" spans="1:22" ht="13.2">
      <c r="A968" s="12"/>
      <c r="B968" s="46"/>
      <c r="C968" s="12"/>
      <c r="D968" s="15"/>
      <c r="E968" s="15"/>
      <c r="F968" s="15"/>
      <c r="G968" s="16"/>
      <c r="H968" s="16"/>
      <c r="I968" s="16"/>
      <c r="J968" s="16"/>
      <c r="K968" s="16"/>
      <c r="L968" s="16"/>
      <c r="M968" s="15"/>
      <c r="N968" s="16"/>
      <c r="O968" s="16"/>
      <c r="P968" s="16"/>
      <c r="Q968" s="16"/>
      <c r="R968" s="16"/>
      <c r="S968" s="16"/>
      <c r="T968" s="16"/>
      <c r="U968" s="16"/>
      <c r="V968" s="16"/>
    </row>
    <row r="969" spans="1:22" ht="13.2">
      <c r="A969" s="12"/>
      <c r="B969" s="46"/>
      <c r="C969" s="12"/>
      <c r="D969" s="15"/>
      <c r="E969" s="15"/>
      <c r="F969" s="15"/>
      <c r="G969" s="16"/>
      <c r="H969" s="16"/>
      <c r="I969" s="16"/>
      <c r="J969" s="16"/>
      <c r="K969" s="16"/>
      <c r="L969" s="16"/>
      <c r="M969" s="15"/>
      <c r="N969" s="16"/>
      <c r="O969" s="16"/>
      <c r="P969" s="16"/>
      <c r="Q969" s="16"/>
      <c r="R969" s="16"/>
      <c r="S969" s="16"/>
      <c r="T969" s="16"/>
      <c r="U969" s="16"/>
      <c r="V969" s="16"/>
    </row>
    <row r="970" spans="1:22" ht="13.2">
      <c r="A970" s="12"/>
      <c r="B970" s="46"/>
      <c r="C970" s="12"/>
      <c r="D970" s="15"/>
      <c r="E970" s="15"/>
      <c r="F970" s="15"/>
      <c r="G970" s="16"/>
      <c r="H970" s="16"/>
      <c r="I970" s="16"/>
      <c r="J970" s="16"/>
      <c r="K970" s="16"/>
      <c r="L970" s="16"/>
      <c r="M970" s="15"/>
      <c r="N970" s="16"/>
      <c r="O970" s="16"/>
      <c r="P970" s="16"/>
      <c r="Q970" s="16"/>
      <c r="R970" s="16"/>
      <c r="S970" s="16"/>
      <c r="T970" s="16"/>
      <c r="U970" s="16"/>
      <c r="V970" s="16"/>
    </row>
    <row r="971" spans="1:22" ht="13.2">
      <c r="A971" s="12"/>
      <c r="B971" s="46"/>
      <c r="C971" s="12"/>
      <c r="D971" s="15"/>
      <c r="E971" s="15"/>
      <c r="F971" s="15"/>
      <c r="G971" s="16"/>
      <c r="H971" s="16"/>
      <c r="I971" s="16"/>
      <c r="J971" s="16"/>
      <c r="K971" s="16"/>
      <c r="L971" s="16"/>
      <c r="M971" s="15"/>
      <c r="N971" s="16"/>
      <c r="O971" s="16"/>
      <c r="P971" s="16"/>
      <c r="Q971" s="16"/>
      <c r="R971" s="16"/>
      <c r="S971" s="16"/>
      <c r="T971" s="16"/>
      <c r="U971" s="16"/>
      <c r="V971" s="16"/>
    </row>
    <row r="972" spans="1:22" ht="13.2">
      <c r="A972" s="12"/>
      <c r="B972" s="46"/>
      <c r="C972" s="12"/>
      <c r="D972" s="15"/>
      <c r="E972" s="15"/>
      <c r="F972" s="15"/>
      <c r="G972" s="16"/>
      <c r="H972" s="16"/>
      <c r="I972" s="16"/>
      <c r="J972" s="16"/>
      <c r="K972" s="16"/>
      <c r="L972" s="16"/>
      <c r="M972" s="15"/>
      <c r="N972" s="16"/>
      <c r="O972" s="16"/>
      <c r="P972" s="16"/>
      <c r="Q972" s="16"/>
      <c r="R972" s="16"/>
      <c r="S972" s="16"/>
      <c r="T972" s="16"/>
      <c r="U972" s="16"/>
      <c r="V972" s="16"/>
    </row>
    <row r="973" spans="1:22" ht="13.2">
      <c r="A973" s="12"/>
      <c r="B973" s="46"/>
      <c r="C973" s="12"/>
      <c r="D973" s="15"/>
      <c r="E973" s="15"/>
      <c r="F973" s="15"/>
      <c r="G973" s="16"/>
      <c r="H973" s="16"/>
      <c r="I973" s="16"/>
      <c r="J973" s="16"/>
      <c r="K973" s="16"/>
      <c r="L973" s="16"/>
      <c r="M973" s="15"/>
      <c r="N973" s="16"/>
      <c r="O973" s="16"/>
      <c r="P973" s="16"/>
      <c r="Q973" s="16"/>
      <c r="R973" s="16"/>
      <c r="S973" s="16"/>
      <c r="T973" s="16"/>
      <c r="U973" s="16"/>
      <c r="V973" s="16"/>
    </row>
    <row r="974" spans="1:22" ht="13.2">
      <c r="A974" s="12"/>
      <c r="B974" s="46"/>
      <c r="C974" s="12"/>
      <c r="D974" s="15"/>
      <c r="E974" s="15"/>
      <c r="F974" s="15"/>
      <c r="G974" s="16"/>
      <c r="H974" s="16"/>
      <c r="I974" s="16"/>
      <c r="J974" s="16"/>
      <c r="K974" s="16"/>
      <c r="L974" s="16"/>
      <c r="M974" s="15"/>
      <c r="N974" s="16"/>
      <c r="O974" s="16"/>
      <c r="P974" s="16"/>
      <c r="Q974" s="16"/>
      <c r="R974" s="16"/>
      <c r="S974" s="16"/>
      <c r="T974" s="16"/>
      <c r="U974" s="16"/>
      <c r="V974" s="16"/>
    </row>
    <row r="975" spans="1:22" ht="13.2">
      <c r="A975" s="12"/>
      <c r="B975" s="46"/>
      <c r="C975" s="12"/>
      <c r="D975" s="15"/>
      <c r="E975" s="15"/>
      <c r="F975" s="15"/>
      <c r="G975" s="16"/>
      <c r="H975" s="16"/>
      <c r="I975" s="16"/>
      <c r="J975" s="16"/>
      <c r="K975" s="16"/>
      <c r="L975" s="16"/>
      <c r="M975" s="15"/>
      <c r="N975" s="16"/>
      <c r="O975" s="16"/>
      <c r="P975" s="16"/>
      <c r="Q975" s="16"/>
      <c r="R975" s="16"/>
      <c r="S975" s="16"/>
      <c r="T975" s="16"/>
      <c r="U975" s="16"/>
      <c r="V975" s="16"/>
    </row>
    <row r="976" spans="1:22" ht="13.2">
      <c r="A976" s="12"/>
      <c r="B976" s="46"/>
      <c r="C976" s="12"/>
      <c r="D976" s="15"/>
      <c r="E976" s="15"/>
      <c r="F976" s="15"/>
      <c r="G976" s="16"/>
      <c r="H976" s="16"/>
      <c r="I976" s="16"/>
      <c r="J976" s="16"/>
      <c r="K976" s="16"/>
      <c r="L976" s="16"/>
      <c r="M976" s="15"/>
      <c r="N976" s="16"/>
      <c r="O976" s="16"/>
      <c r="P976" s="16"/>
      <c r="Q976" s="16"/>
      <c r="R976" s="16"/>
      <c r="S976" s="16"/>
      <c r="T976" s="16"/>
      <c r="U976" s="16"/>
      <c r="V976" s="16"/>
    </row>
    <row r="977" spans="1:22" ht="13.2">
      <c r="A977" s="12"/>
      <c r="B977" s="46"/>
      <c r="C977" s="12"/>
      <c r="D977" s="15"/>
      <c r="E977" s="15"/>
      <c r="F977" s="15"/>
      <c r="G977" s="16"/>
      <c r="H977" s="16"/>
      <c r="I977" s="16"/>
      <c r="J977" s="16"/>
      <c r="K977" s="16"/>
      <c r="L977" s="16"/>
      <c r="M977" s="15"/>
      <c r="N977" s="16"/>
      <c r="O977" s="16"/>
      <c r="P977" s="16"/>
      <c r="Q977" s="16"/>
      <c r="R977" s="16"/>
      <c r="S977" s="16"/>
      <c r="T977" s="16"/>
      <c r="U977" s="16"/>
      <c r="V977" s="16"/>
    </row>
    <row r="978" spans="1:22" ht="13.2">
      <c r="A978" s="12"/>
      <c r="B978" s="46"/>
      <c r="C978" s="12"/>
      <c r="D978" s="15"/>
      <c r="E978" s="15"/>
      <c r="F978" s="15"/>
      <c r="G978" s="16"/>
      <c r="H978" s="16"/>
      <c r="I978" s="16"/>
      <c r="J978" s="16"/>
      <c r="K978" s="16"/>
      <c r="L978" s="16"/>
      <c r="M978" s="15"/>
      <c r="N978" s="16"/>
      <c r="O978" s="16"/>
      <c r="P978" s="16"/>
      <c r="Q978" s="16"/>
      <c r="R978" s="16"/>
      <c r="S978" s="16"/>
      <c r="T978" s="16"/>
      <c r="U978" s="16"/>
      <c r="V978" s="16"/>
    </row>
    <row r="979" spans="1:22" ht="13.2">
      <c r="A979" s="12"/>
      <c r="B979" s="46"/>
      <c r="C979" s="12"/>
      <c r="D979" s="15"/>
      <c r="E979" s="15"/>
      <c r="F979" s="15"/>
      <c r="G979" s="16"/>
      <c r="H979" s="16"/>
      <c r="I979" s="16"/>
      <c r="J979" s="16"/>
      <c r="K979" s="16"/>
      <c r="L979" s="16"/>
      <c r="M979" s="15"/>
      <c r="N979" s="16"/>
      <c r="O979" s="16"/>
      <c r="P979" s="16"/>
      <c r="Q979" s="16"/>
      <c r="R979" s="16"/>
      <c r="S979" s="16"/>
      <c r="T979" s="16"/>
      <c r="U979" s="16"/>
      <c r="V979" s="16"/>
    </row>
  </sheetData>
  <autoFilter ref="A1:R86" xr:uid="{00000000-0009-0000-0000-000003000000}">
    <filterColumn colId="2">
      <filters>
        <filter val="3"/>
      </filters>
    </filterColumn>
  </autoFilter>
  <dataValidations count="2">
    <dataValidation type="list" allowBlank="1" showErrorMessage="1" sqref="D3:D77" xr:uid="{00000000-0002-0000-0300-000000000000}">
      <formula1>"Healthcare,Education,Household Service,Health &amp; Fitness,Community,Civil Service,Sustainability,Family,Travel,Finance,Food"</formula1>
    </dataValidation>
    <dataValidation type="list" allowBlank="1" showErrorMessage="1" sqref="G3:G77 K3:K77" xr:uid="{00000000-0002-0000-0300-000001000000}">
      <formula1>"Yes,No"</formula1>
    </dataValidation>
  </dataValidations>
  <hyperlinks>
    <hyperlink ref="N17" r:id="rId1" xr:uid="{00000000-0004-0000-0300-000000000000}"/>
    <hyperlink ref="N18" r:id="rId2" xr:uid="{00000000-0004-0000-0300-000001000000}"/>
    <hyperlink ref="N19" r:id="rId3" xr:uid="{00000000-0004-0000-0300-000002000000}"/>
    <hyperlink ref="N20" r:id="rId4" xr:uid="{00000000-0004-0000-0300-000003000000}"/>
    <hyperlink ref="N21" r:id="rId5" xr:uid="{00000000-0004-0000-03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FF0000"/>
    <outlinePr summaryBelow="0" summaryRight="0"/>
  </sheetPr>
  <dimension ref="A1:V97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cols>
    <col min="1" max="1" width="3.33203125" customWidth="1"/>
    <col min="2" max="2" width="19" customWidth="1"/>
    <col min="3" max="3" width="8" customWidth="1"/>
    <col min="4" max="4" width="16.21875" hidden="1" customWidth="1"/>
    <col min="5" max="5" width="48.33203125" customWidth="1"/>
    <col min="6" max="6" width="51.88671875" customWidth="1"/>
    <col min="7" max="7" width="12.6640625" hidden="1"/>
    <col min="8" max="8" width="24.33203125" hidden="1" customWidth="1"/>
    <col min="9" max="9" width="25.6640625" hidden="1" customWidth="1"/>
    <col min="10" max="10" width="47.44140625" hidden="1" customWidth="1"/>
    <col min="11" max="11" width="16" hidden="1" customWidth="1"/>
    <col min="12" max="12" width="12.6640625" hidden="1"/>
    <col min="13" max="13" width="34" hidden="1" customWidth="1"/>
    <col min="14" max="14" width="43.21875" customWidth="1"/>
    <col min="15" max="15" width="33.21875" customWidth="1"/>
    <col min="16" max="16" width="32" customWidth="1"/>
    <col min="17" max="17" width="29" customWidth="1"/>
    <col min="18" max="18" width="32.109375" customWidth="1"/>
  </cols>
  <sheetData>
    <row r="1" spans="1:22" ht="42" customHeight="1">
      <c r="A1" s="2" t="s">
        <v>472</v>
      </c>
      <c r="B1" s="86" t="s">
        <v>244</v>
      </c>
      <c r="C1" s="2" t="s">
        <v>2</v>
      </c>
      <c r="D1" s="3" t="s">
        <v>3</v>
      </c>
      <c r="E1" s="3" t="s">
        <v>4</v>
      </c>
      <c r="F1" s="3" t="s">
        <v>245</v>
      </c>
      <c r="G1" s="2" t="s">
        <v>246</v>
      </c>
      <c r="H1" s="87" t="s">
        <v>7</v>
      </c>
      <c r="I1" s="87" t="s">
        <v>8</v>
      </c>
      <c r="J1" s="87" t="s">
        <v>9</v>
      </c>
      <c r="K1" s="2" t="s">
        <v>247</v>
      </c>
      <c r="L1" s="88"/>
      <c r="M1" s="89" t="s">
        <v>248</v>
      </c>
      <c r="N1" s="1" t="s">
        <v>249</v>
      </c>
      <c r="O1" s="4" t="s">
        <v>5</v>
      </c>
      <c r="P1" s="5" t="s">
        <v>6</v>
      </c>
      <c r="Q1" s="5" t="s">
        <v>250</v>
      </c>
      <c r="R1" s="5" t="s">
        <v>251</v>
      </c>
      <c r="S1" s="88"/>
      <c r="T1" s="88"/>
      <c r="U1" s="88"/>
      <c r="V1" s="88"/>
    </row>
    <row r="2" spans="1:22" ht="26.4" hidden="1">
      <c r="A2" s="6"/>
      <c r="B2" s="6"/>
      <c r="C2" s="6"/>
      <c r="D2" s="6"/>
      <c r="E2" s="6" t="s">
        <v>252</v>
      </c>
      <c r="F2" s="6" t="s">
        <v>252</v>
      </c>
      <c r="G2" s="6" t="s">
        <v>253</v>
      </c>
      <c r="H2" s="6" t="s">
        <v>254</v>
      </c>
      <c r="I2" s="6" t="s">
        <v>254</v>
      </c>
      <c r="J2" s="6" t="s">
        <v>254</v>
      </c>
      <c r="K2" s="6"/>
      <c r="L2" s="90"/>
      <c r="M2" s="6"/>
      <c r="N2" s="6"/>
      <c r="O2" s="7" t="s">
        <v>255</v>
      </c>
      <c r="P2" s="7" t="s">
        <v>255</v>
      </c>
      <c r="Q2" s="7" t="s">
        <v>255</v>
      </c>
      <c r="R2" s="7" t="s">
        <v>255</v>
      </c>
      <c r="S2" s="90"/>
      <c r="T2" s="90"/>
      <c r="U2" s="90"/>
      <c r="V2" s="90"/>
    </row>
    <row r="3" spans="1:22" ht="145.19999999999999" hidden="1">
      <c r="A3" s="12">
        <v>1</v>
      </c>
      <c r="B3" s="91" t="s">
        <v>256</v>
      </c>
      <c r="C3" s="14">
        <v>1</v>
      </c>
      <c r="D3" s="26"/>
      <c r="E3" s="41" t="s">
        <v>257</v>
      </c>
      <c r="F3" s="15" t="s">
        <v>258</v>
      </c>
      <c r="G3" s="15"/>
      <c r="H3" s="15"/>
      <c r="I3" s="15"/>
      <c r="J3" s="15"/>
      <c r="K3" s="15"/>
      <c r="L3" s="16"/>
      <c r="M3" s="26"/>
      <c r="N3" s="15" t="s">
        <v>473</v>
      </c>
      <c r="O3" s="92"/>
      <c r="P3" s="57"/>
      <c r="Q3" s="57"/>
      <c r="R3" s="57"/>
      <c r="S3" s="16"/>
      <c r="T3" s="16"/>
      <c r="U3" s="16"/>
      <c r="V3" s="16"/>
    </row>
    <row r="4" spans="1:22" ht="158.4" hidden="1">
      <c r="A4" s="12">
        <v>2</v>
      </c>
      <c r="B4" s="46" t="s">
        <v>260</v>
      </c>
      <c r="C4" s="14">
        <v>1</v>
      </c>
      <c r="D4" s="26"/>
      <c r="E4" s="15" t="s">
        <v>261</v>
      </c>
      <c r="F4" s="15" t="s">
        <v>262</v>
      </c>
      <c r="G4" s="15"/>
      <c r="H4" s="15"/>
      <c r="I4" s="15"/>
      <c r="J4" s="15"/>
      <c r="K4" s="16"/>
      <c r="L4" s="16"/>
      <c r="M4" s="26"/>
      <c r="N4" s="15" t="s">
        <v>263</v>
      </c>
      <c r="O4" s="15"/>
      <c r="P4" s="15"/>
      <c r="Q4" s="15"/>
      <c r="R4" s="15"/>
      <c r="S4" s="16"/>
      <c r="T4" s="16"/>
      <c r="U4" s="16"/>
      <c r="V4" s="16"/>
    </row>
    <row r="5" spans="1:22" ht="211.2" hidden="1">
      <c r="A5" s="12">
        <v>3</v>
      </c>
      <c r="B5" s="46" t="s">
        <v>264</v>
      </c>
      <c r="C5" s="14">
        <v>1</v>
      </c>
      <c r="D5" s="26"/>
      <c r="E5" s="15" t="s">
        <v>265</v>
      </c>
      <c r="F5" s="15" t="s">
        <v>266</v>
      </c>
      <c r="G5" s="15"/>
      <c r="H5" s="15"/>
      <c r="I5" s="15"/>
      <c r="J5" s="15"/>
      <c r="K5" s="15"/>
      <c r="L5" s="16"/>
      <c r="M5" s="26"/>
      <c r="N5" s="15" t="s">
        <v>267</v>
      </c>
      <c r="O5" s="15"/>
      <c r="P5" s="15"/>
      <c r="Q5" s="15"/>
      <c r="R5" s="15"/>
      <c r="S5" s="16"/>
      <c r="T5" s="16"/>
      <c r="U5" s="16"/>
      <c r="V5" s="16"/>
    </row>
    <row r="6" spans="1:22" ht="52.8" hidden="1">
      <c r="A6" s="12">
        <v>4</v>
      </c>
      <c r="B6" s="26" t="s">
        <v>268</v>
      </c>
      <c r="C6" s="14">
        <v>1</v>
      </c>
      <c r="D6" s="26"/>
      <c r="E6" s="26" t="s">
        <v>269</v>
      </c>
      <c r="F6" s="26" t="s">
        <v>270</v>
      </c>
      <c r="G6" s="26"/>
      <c r="H6" s="26"/>
      <c r="I6" s="26"/>
      <c r="J6" s="26"/>
      <c r="K6" s="26"/>
      <c r="L6" s="28"/>
      <c r="M6" s="26"/>
      <c r="N6" s="26" t="s">
        <v>271</v>
      </c>
      <c r="O6" s="26"/>
      <c r="P6" s="26"/>
      <c r="Q6" s="26"/>
      <c r="R6" s="26"/>
      <c r="S6" s="28"/>
      <c r="T6" s="28"/>
      <c r="U6" s="28"/>
      <c r="V6" s="28"/>
    </row>
    <row r="7" spans="1:22" ht="132" hidden="1">
      <c r="A7" s="12">
        <v>5</v>
      </c>
      <c r="B7" s="26" t="s">
        <v>272</v>
      </c>
      <c r="C7" s="14">
        <v>1</v>
      </c>
      <c r="D7" s="26"/>
      <c r="E7" s="26" t="s">
        <v>273</v>
      </c>
      <c r="F7" s="26" t="s">
        <v>274</v>
      </c>
      <c r="G7" s="26"/>
      <c r="H7" s="26"/>
      <c r="I7" s="28"/>
      <c r="J7" s="26"/>
      <c r="K7" s="26"/>
      <c r="L7" s="28"/>
      <c r="M7" s="26"/>
      <c r="N7" s="26" t="s">
        <v>275</v>
      </c>
      <c r="O7" s="26"/>
      <c r="P7" s="26"/>
      <c r="Q7" s="26"/>
      <c r="R7" s="26"/>
      <c r="S7" s="28"/>
      <c r="T7" s="28"/>
      <c r="U7" s="28"/>
      <c r="V7" s="28"/>
    </row>
    <row r="8" spans="1:22" ht="277.2">
      <c r="A8" s="12">
        <v>6</v>
      </c>
      <c r="B8" s="46" t="s">
        <v>276</v>
      </c>
      <c r="C8" s="14">
        <v>2</v>
      </c>
      <c r="D8" s="26"/>
      <c r="E8" s="15" t="s">
        <v>277</v>
      </c>
      <c r="F8" s="15" t="s">
        <v>278</v>
      </c>
      <c r="G8" s="15"/>
      <c r="H8" s="15"/>
      <c r="I8" s="15"/>
      <c r="J8" s="15"/>
      <c r="K8" s="15"/>
      <c r="L8" s="16"/>
      <c r="M8" s="26"/>
      <c r="N8" s="15" t="s">
        <v>279</v>
      </c>
      <c r="O8" s="15"/>
      <c r="P8" s="15"/>
      <c r="Q8" s="15"/>
      <c r="R8" s="15"/>
      <c r="S8" s="16"/>
      <c r="T8" s="16"/>
      <c r="U8" s="16"/>
      <c r="V8" s="16"/>
    </row>
    <row r="9" spans="1:22" ht="224.4">
      <c r="A9" s="12">
        <v>7</v>
      </c>
      <c r="B9" s="46" t="s">
        <v>280</v>
      </c>
      <c r="C9" s="14">
        <v>2</v>
      </c>
      <c r="D9" s="26"/>
      <c r="E9" s="33" t="s">
        <v>281</v>
      </c>
      <c r="F9" s="15" t="s">
        <v>282</v>
      </c>
      <c r="G9" s="15"/>
      <c r="H9" s="15"/>
      <c r="I9" s="15"/>
      <c r="J9" s="15"/>
      <c r="K9" s="15"/>
      <c r="L9" s="16"/>
      <c r="M9" s="26"/>
      <c r="N9" s="15" t="s">
        <v>283</v>
      </c>
      <c r="O9" s="15"/>
      <c r="P9" s="15"/>
      <c r="Q9" s="15"/>
      <c r="R9" s="15"/>
      <c r="S9" s="16"/>
      <c r="T9" s="16"/>
      <c r="U9" s="16"/>
      <c r="V9" s="16"/>
    </row>
    <row r="10" spans="1:22" ht="158.4">
      <c r="A10" s="12">
        <v>8</v>
      </c>
      <c r="B10" s="46" t="s">
        <v>284</v>
      </c>
      <c r="C10" s="14">
        <v>2</v>
      </c>
      <c r="D10" s="26"/>
      <c r="E10" s="15" t="s">
        <v>285</v>
      </c>
      <c r="F10" s="15" t="s">
        <v>286</v>
      </c>
      <c r="G10" s="15"/>
      <c r="H10" s="15"/>
      <c r="I10" s="15"/>
      <c r="J10" s="15"/>
      <c r="K10" s="15"/>
      <c r="L10" s="16"/>
      <c r="M10" s="26"/>
      <c r="N10" s="15" t="s">
        <v>287</v>
      </c>
      <c r="O10" s="15"/>
      <c r="P10" s="15"/>
      <c r="Q10" s="15"/>
      <c r="R10" s="15"/>
      <c r="S10" s="16"/>
      <c r="T10" s="16"/>
      <c r="U10" s="16"/>
      <c r="V10" s="16"/>
    </row>
    <row r="11" spans="1:22" ht="171.6">
      <c r="A11" s="12">
        <v>9</v>
      </c>
      <c r="B11" s="46" t="s">
        <v>288</v>
      </c>
      <c r="C11" s="14">
        <v>2</v>
      </c>
      <c r="D11" s="26"/>
      <c r="E11" s="15" t="s">
        <v>289</v>
      </c>
      <c r="F11" s="15" t="s">
        <v>290</v>
      </c>
      <c r="G11" s="15"/>
      <c r="H11" s="15"/>
      <c r="I11" s="93"/>
      <c r="J11" s="15"/>
      <c r="K11" s="15"/>
      <c r="L11" s="16"/>
      <c r="M11" s="26"/>
      <c r="N11" s="15" t="s">
        <v>291</v>
      </c>
      <c r="O11" s="15"/>
      <c r="P11" s="15"/>
      <c r="Q11" s="15"/>
      <c r="R11" s="15"/>
      <c r="S11" s="16"/>
      <c r="T11" s="16"/>
      <c r="U11" s="16"/>
      <c r="V11" s="16"/>
    </row>
    <row r="12" spans="1:22" ht="277.2">
      <c r="A12" s="12">
        <v>10</v>
      </c>
      <c r="B12" s="46" t="s">
        <v>292</v>
      </c>
      <c r="C12" s="14">
        <v>2</v>
      </c>
      <c r="D12" s="26"/>
      <c r="E12" s="15" t="s">
        <v>474</v>
      </c>
      <c r="F12" s="15" t="s">
        <v>294</v>
      </c>
      <c r="G12" s="15"/>
      <c r="H12" s="15"/>
      <c r="I12" s="15"/>
      <c r="J12" s="15"/>
      <c r="K12" s="15"/>
      <c r="L12" s="16"/>
      <c r="M12" s="26"/>
      <c r="N12" s="15" t="s">
        <v>295</v>
      </c>
      <c r="O12" s="15"/>
      <c r="P12" s="15"/>
      <c r="Q12" s="15"/>
      <c r="R12" s="15"/>
      <c r="S12" s="16"/>
      <c r="T12" s="16"/>
      <c r="U12" s="16"/>
      <c r="V12" s="16"/>
    </row>
    <row r="13" spans="1:22" ht="118.8" hidden="1">
      <c r="A13" s="12">
        <v>11</v>
      </c>
      <c r="B13" s="31" t="s">
        <v>296</v>
      </c>
      <c r="C13" s="14">
        <v>3</v>
      </c>
      <c r="D13" s="26"/>
      <c r="E13" s="15" t="s">
        <v>297</v>
      </c>
      <c r="F13" s="15" t="s">
        <v>298</v>
      </c>
      <c r="G13" s="15"/>
      <c r="H13" s="15"/>
      <c r="I13" s="15"/>
      <c r="J13" s="15"/>
      <c r="K13" s="15"/>
      <c r="L13" s="16"/>
      <c r="M13" s="26"/>
      <c r="N13" s="15" t="s">
        <v>299</v>
      </c>
      <c r="O13" s="15"/>
      <c r="P13" s="15"/>
      <c r="Q13" s="15"/>
      <c r="R13" s="15"/>
      <c r="S13" s="16"/>
      <c r="T13" s="16"/>
      <c r="U13" s="16"/>
      <c r="V13" s="16"/>
    </row>
    <row r="14" spans="1:22" ht="145.19999999999999" hidden="1">
      <c r="A14" s="12">
        <v>12</v>
      </c>
      <c r="B14" s="94" t="s">
        <v>303</v>
      </c>
      <c r="C14" s="14">
        <v>3</v>
      </c>
      <c r="D14" s="26"/>
      <c r="E14" s="15" t="s">
        <v>304</v>
      </c>
      <c r="F14" s="15" t="s">
        <v>305</v>
      </c>
      <c r="G14" s="15"/>
      <c r="H14" s="15"/>
      <c r="I14" s="15"/>
      <c r="J14" s="15"/>
      <c r="K14" s="15"/>
      <c r="L14" s="16"/>
      <c r="M14" s="26"/>
      <c r="N14" s="15" t="s">
        <v>306</v>
      </c>
      <c r="O14" s="15"/>
      <c r="P14" s="15"/>
      <c r="Q14" s="15"/>
      <c r="R14" s="15"/>
      <c r="S14" s="16"/>
      <c r="T14" s="16"/>
      <c r="U14" s="16"/>
      <c r="V14" s="16"/>
    </row>
    <row r="15" spans="1:22" ht="145.19999999999999" hidden="1">
      <c r="A15" s="12">
        <v>13</v>
      </c>
      <c r="B15" s="46" t="s">
        <v>307</v>
      </c>
      <c r="C15" s="14">
        <v>3</v>
      </c>
      <c r="D15" s="26"/>
      <c r="E15" s="15" t="s">
        <v>308</v>
      </c>
      <c r="F15" s="15" t="s">
        <v>309</v>
      </c>
      <c r="G15" s="15"/>
      <c r="H15" s="15"/>
      <c r="I15" s="15"/>
      <c r="J15" s="15"/>
      <c r="K15" s="15"/>
      <c r="L15" s="16"/>
      <c r="M15" s="26"/>
      <c r="N15" s="15" t="s">
        <v>310</v>
      </c>
      <c r="O15" s="15"/>
      <c r="P15" s="15"/>
      <c r="Q15" s="15"/>
      <c r="R15" s="15"/>
      <c r="S15" s="16"/>
      <c r="T15" s="16"/>
      <c r="U15" s="16"/>
      <c r="V15" s="16"/>
    </row>
    <row r="16" spans="1:22" ht="129" hidden="1" customHeight="1">
      <c r="A16" s="12">
        <v>14</v>
      </c>
      <c r="B16" s="26" t="s">
        <v>311</v>
      </c>
      <c r="C16" s="14">
        <v>3</v>
      </c>
      <c r="D16" s="26"/>
      <c r="E16" s="26" t="s">
        <v>312</v>
      </c>
      <c r="F16" s="26" t="s">
        <v>313</v>
      </c>
      <c r="G16" s="26"/>
      <c r="H16" s="26"/>
      <c r="I16" s="26"/>
      <c r="J16" s="26"/>
      <c r="K16" s="26"/>
      <c r="L16" s="28"/>
      <c r="M16" s="26"/>
      <c r="N16" s="26"/>
      <c r="O16" s="26"/>
      <c r="P16" s="26"/>
      <c r="Q16" s="26"/>
      <c r="R16" s="26"/>
      <c r="S16" s="28"/>
      <c r="T16" s="28"/>
      <c r="U16" s="28"/>
      <c r="V16" s="28"/>
    </row>
    <row r="17" spans="1:22" ht="264" hidden="1">
      <c r="A17" s="12">
        <v>15</v>
      </c>
      <c r="B17" s="46" t="s">
        <v>314</v>
      </c>
      <c r="C17" s="14">
        <v>3</v>
      </c>
      <c r="D17" s="26"/>
      <c r="E17" s="15" t="s">
        <v>315</v>
      </c>
      <c r="F17" s="15" t="s">
        <v>316</v>
      </c>
      <c r="G17" s="15"/>
      <c r="H17" s="15"/>
      <c r="I17" s="15"/>
      <c r="J17" s="15"/>
      <c r="K17" s="15"/>
      <c r="L17" s="16"/>
      <c r="M17" s="26"/>
      <c r="N17" s="15"/>
      <c r="O17" s="15"/>
      <c r="P17" s="15"/>
      <c r="Q17" s="15"/>
      <c r="R17" s="15"/>
      <c r="S17" s="16"/>
      <c r="T17" s="16"/>
      <c r="U17" s="16"/>
      <c r="V17" s="16"/>
    </row>
    <row r="18" spans="1:22" ht="409.6" hidden="1">
      <c r="A18" s="12">
        <v>16</v>
      </c>
      <c r="B18" s="24" t="s">
        <v>322</v>
      </c>
      <c r="C18" s="14">
        <v>4</v>
      </c>
      <c r="D18" s="26"/>
      <c r="E18" s="15" t="s">
        <v>323</v>
      </c>
      <c r="F18" s="17" t="s">
        <v>324</v>
      </c>
      <c r="G18" s="15"/>
      <c r="H18" s="15"/>
      <c r="I18" s="15"/>
      <c r="J18" s="15"/>
      <c r="K18" s="15"/>
      <c r="L18" s="16"/>
      <c r="M18" s="26"/>
      <c r="N18" s="18" t="s">
        <v>475</v>
      </c>
      <c r="O18" s="15"/>
      <c r="P18" s="15"/>
      <c r="Q18" s="15"/>
      <c r="R18" s="15"/>
      <c r="S18" s="16"/>
      <c r="T18" s="16"/>
      <c r="U18" s="16"/>
      <c r="V18" s="16"/>
    </row>
    <row r="19" spans="1:22" ht="409.6" hidden="1">
      <c r="A19" s="12">
        <v>17</v>
      </c>
      <c r="B19" s="91" t="s">
        <v>326</v>
      </c>
      <c r="C19" s="14">
        <v>4</v>
      </c>
      <c r="D19" s="26"/>
      <c r="E19" s="15" t="s">
        <v>327</v>
      </c>
      <c r="F19" s="15" t="s">
        <v>328</v>
      </c>
      <c r="G19" s="15"/>
      <c r="H19" s="15"/>
      <c r="I19" s="15"/>
      <c r="J19" s="15"/>
      <c r="K19" s="15"/>
      <c r="L19" s="16"/>
      <c r="M19" s="26"/>
      <c r="N19" s="18" t="s">
        <v>476</v>
      </c>
      <c r="O19" s="15"/>
      <c r="P19" s="15"/>
      <c r="Q19" s="15"/>
      <c r="R19" s="15"/>
      <c r="S19" s="16"/>
      <c r="T19" s="16"/>
      <c r="U19" s="16"/>
      <c r="V19" s="16"/>
    </row>
    <row r="20" spans="1:22" ht="409.6" hidden="1">
      <c r="A20" s="12">
        <v>18</v>
      </c>
      <c r="B20" s="46" t="s">
        <v>330</v>
      </c>
      <c r="C20" s="14">
        <v>4</v>
      </c>
      <c r="D20" s="26"/>
      <c r="E20" s="15" t="s">
        <v>331</v>
      </c>
      <c r="F20" s="15" t="s">
        <v>332</v>
      </c>
      <c r="G20" s="15"/>
      <c r="H20" s="15"/>
      <c r="I20" s="15"/>
      <c r="J20" s="15"/>
      <c r="K20" s="15"/>
      <c r="L20" s="16"/>
      <c r="M20" s="26"/>
      <c r="N20" s="18" t="s">
        <v>477</v>
      </c>
      <c r="O20" s="15"/>
      <c r="P20" s="15"/>
      <c r="Q20" s="15"/>
      <c r="R20" s="15"/>
      <c r="S20" s="16"/>
      <c r="T20" s="16"/>
      <c r="U20" s="16"/>
      <c r="V20" s="16"/>
    </row>
    <row r="21" spans="1:22" ht="409.6" hidden="1">
      <c r="A21" s="12">
        <v>19</v>
      </c>
      <c r="B21" s="26" t="s">
        <v>334</v>
      </c>
      <c r="C21" s="14">
        <v>4</v>
      </c>
      <c r="D21" s="26"/>
      <c r="E21" s="26" t="s">
        <v>335</v>
      </c>
      <c r="F21" s="26" t="s">
        <v>336</v>
      </c>
      <c r="G21" s="26"/>
      <c r="H21" s="26"/>
      <c r="I21" s="26"/>
      <c r="J21" s="26"/>
      <c r="K21" s="26"/>
      <c r="L21" s="28"/>
      <c r="M21" s="26"/>
      <c r="N21" s="32" t="s">
        <v>478</v>
      </c>
      <c r="O21" s="26"/>
      <c r="P21" s="26"/>
      <c r="Q21" s="26"/>
      <c r="R21" s="26"/>
      <c r="S21" s="28"/>
      <c r="T21" s="28"/>
      <c r="U21" s="28"/>
      <c r="V21" s="28"/>
    </row>
    <row r="22" spans="1:22" ht="250.8" hidden="1">
      <c r="A22" s="12">
        <v>20</v>
      </c>
      <c r="B22" s="46" t="s">
        <v>338</v>
      </c>
      <c r="C22" s="14">
        <v>5</v>
      </c>
      <c r="D22" s="26"/>
      <c r="E22" s="15" t="s">
        <v>479</v>
      </c>
      <c r="F22" s="15" t="s">
        <v>340</v>
      </c>
      <c r="G22" s="15"/>
      <c r="H22" s="15"/>
      <c r="I22" s="15"/>
      <c r="J22" s="15"/>
      <c r="K22" s="15"/>
      <c r="L22" s="16"/>
      <c r="M22" s="26"/>
      <c r="N22" s="15" t="s">
        <v>480</v>
      </c>
      <c r="O22" s="15"/>
      <c r="P22" s="15"/>
      <c r="Q22" s="15"/>
      <c r="R22" s="15"/>
      <c r="S22" s="16"/>
      <c r="T22" s="16"/>
      <c r="U22" s="16"/>
      <c r="V22" s="16"/>
    </row>
    <row r="23" spans="1:22" ht="132" hidden="1">
      <c r="A23" s="12">
        <v>21</v>
      </c>
      <c r="B23" s="91" t="s">
        <v>342</v>
      </c>
      <c r="C23" s="14">
        <v>5</v>
      </c>
      <c r="D23" s="26"/>
      <c r="E23" s="15" t="s">
        <v>343</v>
      </c>
      <c r="F23" s="15" t="s">
        <v>344</v>
      </c>
      <c r="G23" s="15"/>
      <c r="H23" s="15"/>
      <c r="I23" s="16"/>
      <c r="J23" s="15"/>
      <c r="K23" s="15"/>
      <c r="L23" s="16"/>
      <c r="M23" s="26"/>
      <c r="N23" s="15" t="s">
        <v>345</v>
      </c>
      <c r="O23" s="15"/>
      <c r="P23" s="15"/>
      <c r="Q23" s="15"/>
      <c r="R23" s="15"/>
      <c r="S23" s="16"/>
      <c r="T23" s="16"/>
      <c r="U23" s="16"/>
      <c r="V23" s="16"/>
    </row>
    <row r="24" spans="1:22" ht="237.6" hidden="1">
      <c r="A24" s="12">
        <v>22</v>
      </c>
      <c r="B24" s="33" t="s">
        <v>346</v>
      </c>
      <c r="C24" s="14">
        <v>5</v>
      </c>
      <c r="D24" s="26"/>
      <c r="E24" s="15" t="s">
        <v>347</v>
      </c>
      <c r="F24" s="15" t="s">
        <v>348</v>
      </c>
      <c r="G24" s="15"/>
      <c r="H24" s="15"/>
      <c r="I24" s="15"/>
      <c r="J24" s="15"/>
      <c r="K24" s="15"/>
      <c r="L24" s="16"/>
      <c r="M24" s="26"/>
      <c r="N24" s="15" t="s">
        <v>349</v>
      </c>
      <c r="O24" s="15"/>
      <c r="P24" s="15"/>
      <c r="Q24" s="15"/>
      <c r="R24" s="15"/>
      <c r="S24" s="16"/>
      <c r="T24" s="16"/>
      <c r="U24" s="16"/>
      <c r="V24" s="16"/>
    </row>
    <row r="25" spans="1:22" ht="200.25" hidden="1" customHeight="1">
      <c r="A25" s="12">
        <v>23</v>
      </c>
      <c r="B25" s="46" t="s">
        <v>350</v>
      </c>
      <c r="C25" s="14">
        <v>5</v>
      </c>
      <c r="D25" s="26"/>
      <c r="E25" s="16" t="s">
        <v>351</v>
      </c>
      <c r="F25" s="15" t="s">
        <v>352</v>
      </c>
      <c r="G25" s="15"/>
      <c r="H25" s="15"/>
      <c r="I25" s="15"/>
      <c r="J25" s="15"/>
      <c r="K25" s="15"/>
      <c r="L25" s="16"/>
      <c r="M25" s="26"/>
      <c r="N25" s="15" t="s">
        <v>353</v>
      </c>
      <c r="O25" s="15"/>
      <c r="P25" s="15"/>
      <c r="Q25" s="15"/>
      <c r="R25" s="15"/>
      <c r="S25" s="16"/>
      <c r="T25" s="16"/>
      <c r="U25" s="16"/>
      <c r="V25" s="16"/>
    </row>
    <row r="26" spans="1:22" ht="153.75" hidden="1" customHeight="1">
      <c r="A26" s="12">
        <v>24</v>
      </c>
      <c r="B26" s="46" t="s">
        <v>354</v>
      </c>
      <c r="C26" s="14">
        <v>6</v>
      </c>
      <c r="D26" s="26"/>
      <c r="E26" s="15" t="s">
        <v>355</v>
      </c>
      <c r="F26" s="15" t="s">
        <v>356</v>
      </c>
      <c r="G26" s="15"/>
      <c r="H26" s="15"/>
      <c r="I26" s="15"/>
      <c r="J26" s="15"/>
      <c r="K26" s="15"/>
      <c r="L26" s="16"/>
      <c r="M26" s="26"/>
      <c r="N26" s="15"/>
      <c r="O26" s="15"/>
      <c r="P26" s="15"/>
      <c r="Q26" s="15"/>
      <c r="R26" s="15"/>
      <c r="S26" s="16"/>
      <c r="T26" s="16"/>
      <c r="U26" s="16"/>
      <c r="V26" s="16"/>
    </row>
    <row r="27" spans="1:22" ht="145.5" hidden="1" customHeight="1">
      <c r="A27" s="12">
        <v>25</v>
      </c>
      <c r="B27" s="46" t="s">
        <v>357</v>
      </c>
      <c r="C27" s="14">
        <v>6</v>
      </c>
      <c r="D27" s="26"/>
      <c r="E27" s="15" t="s">
        <v>358</v>
      </c>
      <c r="F27" s="15" t="s">
        <v>359</v>
      </c>
      <c r="G27" s="15"/>
      <c r="H27" s="15"/>
      <c r="I27" s="15"/>
      <c r="J27" s="60"/>
      <c r="K27" s="15"/>
      <c r="L27" s="16"/>
      <c r="M27" s="26"/>
      <c r="N27" s="15" t="s">
        <v>360</v>
      </c>
      <c r="O27" s="15"/>
      <c r="P27" s="15"/>
      <c r="Q27" s="15"/>
      <c r="R27" s="15"/>
      <c r="S27" s="16"/>
      <c r="T27" s="16"/>
      <c r="U27" s="16"/>
      <c r="V27" s="16"/>
    </row>
    <row r="28" spans="1:22" ht="158.4" hidden="1">
      <c r="A28" s="12">
        <v>26</v>
      </c>
      <c r="B28" s="46" t="s">
        <v>361</v>
      </c>
      <c r="C28" s="14">
        <v>6</v>
      </c>
      <c r="D28" s="26"/>
      <c r="E28" s="15" t="s">
        <v>362</v>
      </c>
      <c r="F28" s="15" t="s">
        <v>481</v>
      </c>
      <c r="G28" s="15"/>
      <c r="H28" s="15"/>
      <c r="I28" s="15"/>
      <c r="J28" s="15"/>
      <c r="K28" s="15"/>
      <c r="L28" s="16"/>
      <c r="M28" s="26"/>
      <c r="N28" s="15" t="s">
        <v>364</v>
      </c>
      <c r="O28" s="15"/>
      <c r="P28" s="15"/>
      <c r="Q28" s="15"/>
      <c r="R28" s="15"/>
      <c r="S28" s="16"/>
      <c r="T28" s="16"/>
      <c r="U28" s="16"/>
      <c r="V28" s="16"/>
    </row>
    <row r="29" spans="1:22" ht="211.2" hidden="1">
      <c r="A29" s="12">
        <v>27</v>
      </c>
      <c r="B29" s="33" t="s">
        <v>365</v>
      </c>
      <c r="C29" s="14">
        <v>6</v>
      </c>
      <c r="D29" s="26"/>
      <c r="E29" s="15" t="s">
        <v>366</v>
      </c>
      <c r="F29" s="15" t="s">
        <v>367</v>
      </c>
      <c r="G29" s="15"/>
      <c r="H29" s="15"/>
      <c r="I29" s="15"/>
      <c r="J29" s="15"/>
      <c r="K29" s="15"/>
      <c r="L29" s="16"/>
      <c r="M29" s="26"/>
      <c r="N29" s="15" t="s">
        <v>368</v>
      </c>
      <c r="O29" s="15"/>
      <c r="P29" s="15"/>
      <c r="Q29" s="15"/>
      <c r="R29" s="15"/>
      <c r="S29" s="16"/>
      <c r="T29" s="16"/>
      <c r="U29" s="16"/>
      <c r="V29" s="16"/>
    </row>
    <row r="30" spans="1:22" ht="264" hidden="1">
      <c r="A30" s="12">
        <v>28</v>
      </c>
      <c r="B30" s="46" t="s">
        <v>369</v>
      </c>
      <c r="C30" s="14">
        <v>6</v>
      </c>
      <c r="D30" s="26"/>
      <c r="E30" s="15" t="s">
        <v>370</v>
      </c>
      <c r="F30" s="15" t="s">
        <v>371</v>
      </c>
      <c r="G30" s="15"/>
      <c r="H30" s="15"/>
      <c r="I30" s="15"/>
      <c r="J30" s="15"/>
      <c r="K30" s="15"/>
      <c r="L30" s="16"/>
      <c r="M30" s="26"/>
      <c r="N30" s="15" t="s">
        <v>372</v>
      </c>
      <c r="O30" s="15"/>
      <c r="P30" s="15"/>
      <c r="Q30" s="15"/>
      <c r="R30" s="15"/>
      <c r="S30" s="16"/>
      <c r="T30" s="16"/>
      <c r="U30" s="16"/>
      <c r="V30" s="16"/>
    </row>
    <row r="31" spans="1:22" ht="132" hidden="1">
      <c r="A31" s="12">
        <v>29</v>
      </c>
      <c r="B31" s="46" t="s">
        <v>373</v>
      </c>
      <c r="C31" s="14">
        <v>7</v>
      </c>
      <c r="D31" s="26"/>
      <c r="E31" s="15" t="s">
        <v>374</v>
      </c>
      <c r="F31" s="15" t="s">
        <v>375</v>
      </c>
      <c r="G31" s="15"/>
      <c r="H31" s="15"/>
      <c r="I31" s="15"/>
      <c r="J31" s="15"/>
      <c r="K31" s="15"/>
      <c r="L31" s="16"/>
      <c r="M31" s="26"/>
      <c r="N31" s="15" t="s">
        <v>376</v>
      </c>
      <c r="O31" s="15"/>
      <c r="P31" s="15"/>
      <c r="Q31" s="15"/>
      <c r="R31" s="15"/>
      <c r="S31" s="16"/>
      <c r="T31" s="16"/>
      <c r="U31" s="16"/>
      <c r="V31" s="16"/>
    </row>
    <row r="32" spans="1:22" ht="158.4" hidden="1">
      <c r="A32" s="12">
        <v>30</v>
      </c>
      <c r="B32" s="46" t="s">
        <v>377</v>
      </c>
      <c r="C32" s="14">
        <v>7</v>
      </c>
      <c r="D32" s="26"/>
      <c r="E32" s="15" t="s">
        <v>378</v>
      </c>
      <c r="F32" s="15" t="s">
        <v>379</v>
      </c>
      <c r="G32" s="15"/>
      <c r="H32" s="15"/>
      <c r="I32" s="15"/>
      <c r="J32" s="15"/>
      <c r="K32" s="15"/>
      <c r="L32" s="16"/>
      <c r="M32" s="26"/>
      <c r="N32" s="15" t="s">
        <v>380</v>
      </c>
      <c r="O32" s="15"/>
      <c r="P32" s="15"/>
      <c r="Q32" s="15"/>
      <c r="R32" s="15"/>
      <c r="S32" s="16"/>
      <c r="T32" s="16"/>
      <c r="U32" s="16"/>
      <c r="V32" s="16"/>
    </row>
    <row r="33" spans="1:22" ht="158.4" hidden="1">
      <c r="A33" s="12">
        <v>31</v>
      </c>
      <c r="B33" s="91" t="s">
        <v>381</v>
      </c>
      <c r="C33" s="14">
        <v>7</v>
      </c>
      <c r="D33" s="26"/>
      <c r="E33" s="16" t="s">
        <v>382</v>
      </c>
      <c r="F33" s="16" t="s">
        <v>383</v>
      </c>
      <c r="G33" s="15"/>
      <c r="H33" s="15"/>
      <c r="I33" s="15"/>
      <c r="J33" s="15"/>
      <c r="K33" s="15"/>
      <c r="L33" s="16"/>
      <c r="M33" s="26"/>
      <c r="N33" s="15" t="s">
        <v>384</v>
      </c>
      <c r="O33" s="15"/>
      <c r="P33" s="15"/>
      <c r="Q33" s="15"/>
      <c r="R33" s="15"/>
      <c r="S33" s="16"/>
      <c r="T33" s="16"/>
      <c r="U33" s="16"/>
      <c r="V33" s="16"/>
    </row>
    <row r="34" spans="1:22" ht="171.6" hidden="1">
      <c r="A34" s="12">
        <v>32</v>
      </c>
      <c r="B34" s="46" t="s">
        <v>385</v>
      </c>
      <c r="C34" s="14">
        <v>7</v>
      </c>
      <c r="D34" s="26"/>
      <c r="E34" s="15" t="s">
        <v>386</v>
      </c>
      <c r="F34" s="15" t="s">
        <v>387</v>
      </c>
      <c r="G34" s="15"/>
      <c r="H34" s="15"/>
      <c r="I34" s="15"/>
      <c r="J34" s="15"/>
      <c r="K34" s="15"/>
      <c r="L34" s="16"/>
      <c r="M34" s="26"/>
      <c r="N34" s="15" t="s">
        <v>388</v>
      </c>
      <c r="O34" s="15"/>
      <c r="P34" s="15"/>
      <c r="Q34" s="15"/>
      <c r="R34" s="15"/>
      <c r="S34" s="16"/>
      <c r="T34" s="16"/>
      <c r="U34" s="16"/>
      <c r="V34" s="16"/>
    </row>
    <row r="35" spans="1:22" ht="230.4" hidden="1">
      <c r="A35" s="12">
        <v>33</v>
      </c>
      <c r="B35" s="91" t="s">
        <v>389</v>
      </c>
      <c r="C35" s="14">
        <v>7</v>
      </c>
      <c r="D35" s="26"/>
      <c r="E35" s="44" t="s">
        <v>390</v>
      </c>
      <c r="F35" s="44" t="s">
        <v>391</v>
      </c>
      <c r="G35" s="15"/>
      <c r="H35" s="15"/>
      <c r="I35" s="15"/>
      <c r="J35" s="15"/>
      <c r="K35" s="15"/>
      <c r="L35" s="16"/>
      <c r="M35" s="26"/>
      <c r="N35" s="44" t="s">
        <v>392</v>
      </c>
      <c r="O35" s="15"/>
      <c r="P35" s="15"/>
      <c r="Q35" s="15"/>
      <c r="R35" s="15"/>
      <c r="S35" s="16"/>
      <c r="T35" s="16"/>
      <c r="U35" s="16"/>
      <c r="V35" s="16"/>
    </row>
    <row r="36" spans="1:22" ht="105.6" hidden="1">
      <c r="A36" s="12">
        <v>34</v>
      </c>
      <c r="B36" s="91" t="s">
        <v>393</v>
      </c>
      <c r="C36" s="14">
        <v>7</v>
      </c>
      <c r="D36" s="26"/>
      <c r="E36" s="15" t="s">
        <v>394</v>
      </c>
      <c r="F36" s="15" t="s">
        <v>395</v>
      </c>
      <c r="G36" s="15"/>
      <c r="H36" s="15"/>
      <c r="I36" s="15"/>
      <c r="J36" s="15"/>
      <c r="K36" s="15"/>
      <c r="L36" s="16"/>
      <c r="M36" s="26"/>
      <c r="N36" s="15" t="s">
        <v>396</v>
      </c>
      <c r="O36" s="15"/>
      <c r="P36" s="15"/>
      <c r="Q36" s="15"/>
      <c r="R36" s="15"/>
      <c r="S36" s="16"/>
      <c r="T36" s="16"/>
      <c r="U36" s="16"/>
      <c r="V36" s="16"/>
    </row>
    <row r="37" spans="1:22" ht="158.4" hidden="1">
      <c r="A37" s="12">
        <v>35</v>
      </c>
      <c r="B37" s="46" t="s">
        <v>397</v>
      </c>
      <c r="C37" s="14">
        <v>8</v>
      </c>
      <c r="D37" s="26"/>
      <c r="E37" s="15" t="s">
        <v>398</v>
      </c>
      <c r="F37" s="15" t="s">
        <v>399</v>
      </c>
      <c r="G37" s="15"/>
      <c r="H37" s="15"/>
      <c r="I37" s="15"/>
      <c r="J37" s="15"/>
      <c r="K37" s="15"/>
      <c r="L37" s="16"/>
      <c r="M37" s="26"/>
      <c r="N37" s="15" t="s">
        <v>400</v>
      </c>
      <c r="O37" s="15"/>
      <c r="P37" s="15"/>
      <c r="Q37" s="15"/>
      <c r="R37" s="15"/>
      <c r="S37" s="16"/>
      <c r="T37" s="16"/>
      <c r="U37" s="16"/>
      <c r="V37" s="16"/>
    </row>
    <row r="38" spans="1:22" ht="167.25" hidden="1" customHeight="1">
      <c r="A38" s="12">
        <v>36</v>
      </c>
      <c r="B38" s="46" t="s">
        <v>401</v>
      </c>
      <c r="C38" s="14">
        <v>8</v>
      </c>
      <c r="D38" s="26"/>
      <c r="E38" s="16" t="s">
        <v>402</v>
      </c>
      <c r="F38" s="16" t="s">
        <v>403</v>
      </c>
      <c r="G38" s="15"/>
      <c r="H38" s="62"/>
      <c r="I38" s="13"/>
      <c r="J38" s="15"/>
      <c r="K38" s="15"/>
      <c r="L38" s="16"/>
      <c r="M38" s="26"/>
      <c r="N38" s="15" t="s">
        <v>404</v>
      </c>
      <c r="O38" s="15"/>
      <c r="P38" s="15"/>
      <c r="Q38" s="15"/>
      <c r="R38" s="15"/>
      <c r="S38" s="16"/>
      <c r="T38" s="16"/>
      <c r="U38" s="16"/>
      <c r="V38" s="16"/>
    </row>
    <row r="39" spans="1:22" ht="141.75" hidden="1" customHeight="1">
      <c r="A39" s="12">
        <v>37</v>
      </c>
      <c r="B39" s="46" t="s">
        <v>405</v>
      </c>
      <c r="C39" s="14">
        <v>8</v>
      </c>
      <c r="D39" s="26"/>
      <c r="E39" s="15" t="s">
        <v>406</v>
      </c>
      <c r="F39" s="15" t="s">
        <v>407</v>
      </c>
      <c r="G39" s="15"/>
      <c r="H39" s="15"/>
      <c r="I39" s="15"/>
      <c r="J39" s="15"/>
      <c r="K39" s="15"/>
      <c r="L39" s="16"/>
      <c r="M39" s="15"/>
      <c r="N39" s="15" t="s">
        <v>408</v>
      </c>
      <c r="O39" s="15"/>
      <c r="P39" s="15"/>
      <c r="Q39" s="15"/>
      <c r="R39" s="15"/>
      <c r="S39" s="16"/>
      <c r="T39" s="16"/>
      <c r="U39" s="16"/>
      <c r="V39" s="16"/>
    </row>
    <row r="40" spans="1:22" ht="105.6" hidden="1">
      <c r="A40" s="12">
        <v>38</v>
      </c>
      <c r="B40" s="33" t="s">
        <v>409</v>
      </c>
      <c r="C40" s="14">
        <v>8</v>
      </c>
      <c r="D40" s="26"/>
      <c r="E40" s="15" t="s">
        <v>410</v>
      </c>
      <c r="F40" s="15" t="s">
        <v>411</v>
      </c>
      <c r="G40" s="15"/>
      <c r="H40" s="15"/>
      <c r="I40" s="15"/>
      <c r="J40" s="15"/>
      <c r="K40" s="15"/>
      <c r="L40" s="16"/>
      <c r="M40" s="26"/>
      <c r="N40" s="15" t="s">
        <v>412</v>
      </c>
      <c r="O40" s="15"/>
      <c r="P40" s="15"/>
      <c r="Q40" s="15"/>
      <c r="R40" s="15"/>
      <c r="S40" s="16"/>
      <c r="T40" s="16"/>
      <c r="U40" s="16"/>
      <c r="V40" s="16"/>
    </row>
    <row r="41" spans="1:22" ht="153" hidden="1" customHeight="1">
      <c r="A41" s="12">
        <v>39</v>
      </c>
      <c r="B41" s="46" t="s">
        <v>413</v>
      </c>
      <c r="C41" s="14">
        <v>9</v>
      </c>
      <c r="D41" s="26"/>
      <c r="E41" s="15" t="s">
        <v>414</v>
      </c>
      <c r="F41" s="15" t="s">
        <v>415</v>
      </c>
      <c r="G41" s="15"/>
      <c r="H41" s="15"/>
      <c r="I41" s="15"/>
      <c r="J41" s="15"/>
      <c r="K41" s="15"/>
      <c r="L41" s="16"/>
      <c r="M41" s="26"/>
      <c r="N41" s="15" t="s">
        <v>416</v>
      </c>
      <c r="O41" s="15"/>
      <c r="P41" s="15"/>
      <c r="Q41" s="15"/>
      <c r="R41" s="15"/>
      <c r="S41" s="16"/>
      <c r="T41" s="16"/>
      <c r="U41" s="16"/>
      <c r="V41" s="16"/>
    </row>
    <row r="42" spans="1:22" ht="237.6" hidden="1">
      <c r="A42" s="12">
        <v>40</v>
      </c>
      <c r="B42" s="33" t="s">
        <v>417</v>
      </c>
      <c r="C42" s="14">
        <v>9</v>
      </c>
      <c r="D42" s="26"/>
      <c r="E42" s="15" t="s">
        <v>418</v>
      </c>
      <c r="F42" s="15" t="s">
        <v>419</v>
      </c>
      <c r="G42" s="15"/>
      <c r="H42" s="15"/>
      <c r="I42" s="15"/>
      <c r="J42" s="15"/>
      <c r="K42" s="15"/>
      <c r="L42" s="16"/>
      <c r="M42" s="26"/>
      <c r="N42" s="15" t="s">
        <v>420</v>
      </c>
      <c r="O42" s="15"/>
      <c r="P42" s="15"/>
      <c r="Q42" s="15"/>
      <c r="R42" s="15"/>
      <c r="S42" s="16"/>
      <c r="T42" s="16"/>
      <c r="U42" s="16"/>
      <c r="V42" s="16"/>
    </row>
    <row r="43" spans="1:22" ht="153" hidden="1" customHeight="1">
      <c r="A43" s="12">
        <v>41</v>
      </c>
      <c r="B43" s="26" t="s">
        <v>421</v>
      </c>
      <c r="C43" s="14">
        <v>9</v>
      </c>
      <c r="D43" s="26"/>
      <c r="E43" s="26" t="s">
        <v>482</v>
      </c>
      <c r="F43" s="26" t="s">
        <v>423</v>
      </c>
      <c r="G43" s="26"/>
      <c r="H43" s="26"/>
      <c r="I43" s="26"/>
      <c r="J43" s="26"/>
      <c r="K43" s="26"/>
      <c r="L43" s="28"/>
      <c r="M43" s="26"/>
      <c r="N43" s="26" t="s">
        <v>424</v>
      </c>
      <c r="O43" s="26"/>
      <c r="P43" s="26"/>
      <c r="Q43" s="26"/>
      <c r="R43" s="26"/>
      <c r="S43" s="28"/>
      <c r="T43" s="28"/>
      <c r="U43" s="28"/>
      <c r="V43" s="28"/>
    </row>
    <row r="44" spans="1:22" ht="119.25" hidden="1" customHeight="1">
      <c r="A44" s="12">
        <v>42</v>
      </c>
      <c r="B44" s="17" t="s">
        <v>425</v>
      </c>
      <c r="C44" s="14">
        <v>9</v>
      </c>
      <c r="D44" s="26"/>
      <c r="E44" s="15" t="s">
        <v>426</v>
      </c>
      <c r="F44" s="17" t="s">
        <v>427</v>
      </c>
      <c r="G44" s="15"/>
      <c r="H44" s="60"/>
      <c r="I44" s="17"/>
      <c r="J44" s="17"/>
      <c r="K44" s="15"/>
      <c r="L44" s="16"/>
      <c r="M44" s="26"/>
      <c r="N44" s="17"/>
      <c r="O44" s="15"/>
      <c r="P44" s="15"/>
      <c r="Q44" s="15"/>
      <c r="R44" s="15"/>
      <c r="S44" s="16"/>
      <c r="T44" s="16"/>
      <c r="U44" s="16"/>
      <c r="V44" s="16"/>
    </row>
    <row r="45" spans="1:22" ht="119.25" hidden="1" customHeight="1">
      <c r="A45" s="12">
        <v>43</v>
      </c>
      <c r="B45" s="17" t="s">
        <v>428</v>
      </c>
      <c r="C45" s="14">
        <v>10</v>
      </c>
      <c r="D45" s="26"/>
      <c r="E45" s="15" t="s">
        <v>429</v>
      </c>
      <c r="F45" s="17" t="s">
        <v>430</v>
      </c>
      <c r="G45" s="15"/>
      <c r="H45" s="60"/>
      <c r="I45" s="17"/>
      <c r="J45" s="17"/>
      <c r="K45" s="15"/>
      <c r="L45" s="16"/>
      <c r="M45" s="26"/>
      <c r="N45" s="17" t="s">
        <v>431</v>
      </c>
      <c r="O45" s="15"/>
      <c r="P45" s="15"/>
      <c r="Q45" s="15"/>
      <c r="R45" s="15"/>
      <c r="S45" s="16"/>
      <c r="T45" s="16"/>
      <c r="U45" s="16"/>
      <c r="V45" s="16"/>
    </row>
    <row r="46" spans="1:22" ht="145.19999999999999" hidden="1">
      <c r="A46" s="12">
        <v>44</v>
      </c>
      <c r="B46" s="46" t="s">
        <v>432</v>
      </c>
      <c r="C46" s="14">
        <v>10</v>
      </c>
      <c r="D46" s="26"/>
      <c r="E46" s="15" t="s">
        <v>433</v>
      </c>
      <c r="F46" s="15" t="s">
        <v>434</v>
      </c>
      <c r="G46" s="15"/>
      <c r="H46" s="15"/>
      <c r="I46" s="15"/>
      <c r="J46" s="15"/>
      <c r="K46" s="15"/>
      <c r="L46" s="16"/>
      <c r="M46" s="26"/>
      <c r="N46" s="15" t="s">
        <v>435</v>
      </c>
      <c r="O46" s="15"/>
      <c r="P46" s="15"/>
      <c r="Q46" s="15"/>
      <c r="R46" s="15"/>
      <c r="S46" s="16"/>
      <c r="T46" s="16"/>
      <c r="U46" s="16"/>
      <c r="V46" s="16"/>
    </row>
    <row r="47" spans="1:22" ht="131.25" hidden="1" customHeight="1">
      <c r="A47" s="12">
        <v>45</v>
      </c>
      <c r="B47" s="46" t="s">
        <v>436</v>
      </c>
      <c r="C47" s="14">
        <v>10</v>
      </c>
      <c r="D47" s="26"/>
      <c r="E47" s="96" t="s">
        <v>437</v>
      </c>
      <c r="F47" s="97" t="s">
        <v>438</v>
      </c>
      <c r="G47" s="15"/>
      <c r="H47" s="15"/>
      <c r="I47" s="15"/>
      <c r="J47" s="15"/>
      <c r="K47" s="15"/>
      <c r="L47" s="16"/>
      <c r="M47" s="26"/>
      <c r="N47" s="97" t="s">
        <v>439</v>
      </c>
      <c r="O47" s="15"/>
      <c r="P47" s="15"/>
      <c r="Q47" s="15"/>
      <c r="R47" s="15"/>
      <c r="S47" s="16"/>
      <c r="T47" s="16"/>
      <c r="U47" s="16"/>
      <c r="V47" s="16"/>
    </row>
    <row r="48" spans="1:22" ht="409.6" hidden="1">
      <c r="A48" s="12">
        <v>46</v>
      </c>
      <c r="B48" s="46" t="s">
        <v>440</v>
      </c>
      <c r="C48" s="14">
        <v>4</v>
      </c>
      <c r="D48" s="26"/>
      <c r="E48" s="26" t="s">
        <v>441</v>
      </c>
      <c r="F48" s="15" t="s">
        <v>442</v>
      </c>
      <c r="G48" s="15"/>
      <c r="H48" s="15"/>
      <c r="I48" s="15"/>
      <c r="J48" s="15"/>
      <c r="K48" s="15"/>
      <c r="L48" s="16"/>
      <c r="M48" s="15"/>
      <c r="N48" s="15" t="s">
        <v>483</v>
      </c>
      <c r="O48" s="15"/>
      <c r="P48" s="15"/>
      <c r="Q48" s="15"/>
      <c r="R48" s="15"/>
      <c r="S48" s="16"/>
      <c r="T48" s="16"/>
      <c r="U48" s="16"/>
      <c r="V48" s="16"/>
    </row>
    <row r="49" spans="1:22" ht="105.6" hidden="1">
      <c r="A49" s="12">
        <v>47</v>
      </c>
      <c r="B49" s="46" t="s">
        <v>444</v>
      </c>
      <c r="C49" s="14">
        <v>5</v>
      </c>
      <c r="D49" s="26"/>
      <c r="E49" s="26" t="s">
        <v>445</v>
      </c>
      <c r="F49" s="15" t="s">
        <v>446</v>
      </c>
      <c r="G49" s="15"/>
      <c r="H49" s="15"/>
      <c r="I49" s="15"/>
      <c r="J49" s="15"/>
      <c r="K49" s="15"/>
      <c r="L49" s="16"/>
      <c r="M49" s="26"/>
      <c r="N49" s="15"/>
      <c r="O49" s="15"/>
      <c r="P49" s="15"/>
      <c r="Q49" s="15"/>
      <c r="R49" s="15"/>
      <c r="S49" s="16"/>
      <c r="T49" s="16"/>
      <c r="U49" s="16"/>
      <c r="V49" s="16"/>
    </row>
    <row r="50" spans="1:22" ht="158.4" hidden="1">
      <c r="A50" s="12">
        <v>48</v>
      </c>
      <c r="B50" s="46" t="s">
        <v>447</v>
      </c>
      <c r="C50" s="14">
        <v>10</v>
      </c>
      <c r="D50" s="26"/>
      <c r="E50" s="15" t="s">
        <v>448</v>
      </c>
      <c r="F50" s="15" t="s">
        <v>449</v>
      </c>
      <c r="G50" s="15"/>
      <c r="H50" s="15"/>
      <c r="I50" s="15"/>
      <c r="J50" s="15"/>
      <c r="K50" s="15"/>
      <c r="L50" s="16"/>
      <c r="M50" s="26"/>
      <c r="N50" s="15"/>
      <c r="O50" s="15"/>
      <c r="P50" s="15"/>
      <c r="Q50" s="15"/>
      <c r="R50" s="15"/>
      <c r="S50" s="16"/>
      <c r="T50" s="16"/>
      <c r="U50" s="16"/>
      <c r="V50" s="16"/>
    </row>
    <row r="51" spans="1:22" ht="184.8" hidden="1">
      <c r="A51" s="12">
        <v>49</v>
      </c>
      <c r="B51" s="91" t="s">
        <v>450</v>
      </c>
      <c r="C51" s="14">
        <v>6</v>
      </c>
      <c r="D51" s="26"/>
      <c r="E51" s="46" t="s">
        <v>451</v>
      </c>
      <c r="F51" s="98" t="s">
        <v>452</v>
      </c>
      <c r="G51" s="15"/>
      <c r="H51" s="62"/>
      <c r="I51" s="15"/>
      <c r="J51" s="15"/>
      <c r="K51" s="15"/>
      <c r="L51" s="16"/>
      <c r="M51" s="26"/>
      <c r="N51" s="15"/>
      <c r="O51" s="15"/>
      <c r="P51" s="15"/>
      <c r="Q51" s="15"/>
      <c r="R51" s="15"/>
      <c r="S51" s="16"/>
      <c r="T51" s="16"/>
      <c r="U51" s="16"/>
      <c r="V51" s="16"/>
    </row>
    <row r="52" spans="1:22" ht="145.19999999999999" hidden="1">
      <c r="A52" s="12">
        <v>50</v>
      </c>
      <c r="B52" s="46" t="s">
        <v>453</v>
      </c>
      <c r="C52" s="14">
        <v>1</v>
      </c>
      <c r="D52" s="26"/>
      <c r="E52" s="15" t="s">
        <v>454</v>
      </c>
      <c r="F52" s="15" t="s">
        <v>455</v>
      </c>
      <c r="G52" s="15"/>
      <c r="H52" s="34"/>
      <c r="I52" s="15"/>
      <c r="J52" s="15"/>
      <c r="K52" s="15"/>
      <c r="L52" s="16"/>
      <c r="M52" s="26"/>
      <c r="N52" s="15"/>
      <c r="O52" s="15"/>
      <c r="P52" s="15"/>
      <c r="Q52" s="15"/>
      <c r="R52" s="15"/>
      <c r="S52" s="16"/>
      <c r="T52" s="16"/>
      <c r="U52" s="16"/>
      <c r="V52" s="16"/>
    </row>
    <row r="53" spans="1:22" ht="356.4" hidden="1">
      <c r="A53" s="12">
        <v>51</v>
      </c>
      <c r="B53" s="46" t="s">
        <v>456</v>
      </c>
      <c r="C53" s="14">
        <v>4</v>
      </c>
      <c r="D53" s="26"/>
      <c r="E53" s="15" t="s">
        <v>457</v>
      </c>
      <c r="F53" s="15" t="s">
        <v>458</v>
      </c>
      <c r="G53" s="15"/>
      <c r="H53" s="15"/>
      <c r="I53" s="15"/>
      <c r="J53" s="15"/>
      <c r="K53" s="15"/>
      <c r="L53" s="16"/>
      <c r="M53" s="26"/>
      <c r="N53" s="15" t="s">
        <v>484</v>
      </c>
      <c r="O53" s="15"/>
      <c r="P53" s="15"/>
      <c r="Q53" s="15"/>
      <c r="R53" s="15"/>
      <c r="S53" s="16"/>
      <c r="T53" s="16"/>
      <c r="U53" s="16"/>
      <c r="V53" s="16"/>
    </row>
    <row r="54" spans="1:22" ht="211.2" hidden="1">
      <c r="A54" s="12">
        <v>52</v>
      </c>
      <c r="B54" s="46" t="s">
        <v>460</v>
      </c>
      <c r="C54" s="14">
        <v>10</v>
      </c>
      <c r="D54" s="26"/>
      <c r="E54" s="15" t="s">
        <v>461</v>
      </c>
      <c r="F54" s="15" t="s">
        <v>462</v>
      </c>
      <c r="G54" s="15"/>
      <c r="H54" s="15"/>
      <c r="I54" s="15"/>
      <c r="J54" s="15"/>
      <c r="K54" s="15"/>
      <c r="L54" s="16"/>
      <c r="M54" s="26"/>
      <c r="N54" s="15"/>
      <c r="O54" s="15"/>
      <c r="P54" s="15"/>
      <c r="Q54" s="15"/>
      <c r="R54" s="15"/>
      <c r="S54" s="16"/>
      <c r="T54" s="16"/>
      <c r="U54" s="16"/>
      <c r="V54" s="16"/>
    </row>
    <row r="55" spans="1:22" ht="118.8" hidden="1">
      <c r="A55" s="12">
        <v>53</v>
      </c>
      <c r="B55" s="46" t="s">
        <v>463</v>
      </c>
      <c r="C55" s="14">
        <v>5</v>
      </c>
      <c r="D55" s="26"/>
      <c r="E55" s="15" t="s">
        <v>464</v>
      </c>
      <c r="F55" s="15" t="s">
        <v>465</v>
      </c>
      <c r="G55" s="15"/>
      <c r="H55" s="15"/>
      <c r="I55" s="15"/>
      <c r="J55" s="15"/>
      <c r="K55" s="15"/>
      <c r="L55" s="16"/>
      <c r="M55" s="26"/>
      <c r="N55" s="15"/>
      <c r="O55" s="15"/>
      <c r="P55" s="15"/>
      <c r="Q55" s="15"/>
      <c r="R55" s="15"/>
      <c r="S55" s="16"/>
      <c r="T55" s="16"/>
      <c r="U55" s="16"/>
      <c r="V55" s="16"/>
    </row>
    <row r="56" spans="1:22" ht="145.19999999999999" hidden="1">
      <c r="A56" s="12">
        <v>54</v>
      </c>
      <c r="B56" s="46" t="s">
        <v>466</v>
      </c>
      <c r="C56" s="14">
        <v>8</v>
      </c>
      <c r="D56" s="26"/>
      <c r="E56" s="17" t="s">
        <v>467</v>
      </c>
      <c r="F56" s="15" t="s">
        <v>468</v>
      </c>
      <c r="G56" s="15"/>
      <c r="H56" s="15"/>
      <c r="I56" s="15"/>
      <c r="J56" s="15"/>
      <c r="K56" s="15"/>
      <c r="L56" s="16"/>
      <c r="M56" s="26"/>
      <c r="N56" s="15"/>
      <c r="O56" s="15"/>
      <c r="P56" s="15"/>
      <c r="Q56" s="15"/>
      <c r="R56" s="15"/>
      <c r="S56" s="16"/>
      <c r="T56" s="16"/>
      <c r="U56" s="16"/>
      <c r="V56" s="16"/>
    </row>
    <row r="57" spans="1:22" ht="66">
      <c r="A57" s="12">
        <v>55</v>
      </c>
      <c r="B57" s="46" t="s">
        <v>469</v>
      </c>
      <c r="C57" s="14">
        <v>2</v>
      </c>
      <c r="D57" s="26"/>
      <c r="E57" s="15" t="s">
        <v>470</v>
      </c>
      <c r="F57" s="15" t="s">
        <v>471</v>
      </c>
      <c r="G57" s="15"/>
      <c r="H57" s="15"/>
      <c r="I57" s="15"/>
      <c r="J57" s="15"/>
      <c r="K57" s="15"/>
      <c r="L57" s="16"/>
      <c r="M57" s="26"/>
      <c r="N57" s="15"/>
      <c r="O57" s="15"/>
      <c r="P57" s="15"/>
      <c r="Q57" s="15"/>
      <c r="R57" s="15"/>
      <c r="S57" s="16"/>
      <c r="T57" s="16"/>
      <c r="U57" s="16"/>
      <c r="V57" s="16"/>
    </row>
    <row r="58" spans="1:22" ht="13.2" hidden="1">
      <c r="A58" s="12">
        <v>56</v>
      </c>
      <c r="B58" s="46"/>
      <c r="C58" s="14"/>
      <c r="D58" s="26"/>
      <c r="E58" s="15"/>
      <c r="F58" s="15"/>
      <c r="G58" s="15"/>
      <c r="H58" s="15"/>
      <c r="I58" s="16"/>
      <c r="J58" s="15"/>
      <c r="K58" s="15"/>
      <c r="L58" s="16"/>
      <c r="M58" s="26"/>
      <c r="N58" s="15"/>
      <c r="O58" s="15"/>
      <c r="P58" s="15"/>
      <c r="Q58" s="15"/>
      <c r="R58" s="15"/>
      <c r="S58" s="16"/>
      <c r="T58" s="16"/>
      <c r="U58" s="16"/>
      <c r="V58" s="16"/>
    </row>
    <row r="59" spans="1:22" ht="13.8" hidden="1">
      <c r="A59" s="12">
        <v>57</v>
      </c>
      <c r="B59" s="46"/>
      <c r="C59" s="14"/>
      <c r="D59" s="26"/>
      <c r="E59" s="15"/>
      <c r="F59" s="15"/>
      <c r="G59" s="15"/>
      <c r="H59" s="15"/>
      <c r="I59" s="99"/>
      <c r="J59" s="15"/>
      <c r="K59" s="15"/>
      <c r="L59" s="16"/>
      <c r="M59" s="26"/>
      <c r="N59" s="15"/>
      <c r="O59" s="15"/>
      <c r="P59" s="15"/>
      <c r="Q59" s="15"/>
      <c r="R59" s="15"/>
      <c r="S59" s="16"/>
      <c r="T59" s="16"/>
      <c r="U59" s="16"/>
      <c r="V59" s="16"/>
    </row>
    <row r="60" spans="1:22" ht="13.2" hidden="1">
      <c r="A60" s="12">
        <v>58</v>
      </c>
      <c r="B60" s="46"/>
      <c r="C60" s="14"/>
      <c r="D60" s="26"/>
      <c r="E60" s="15"/>
      <c r="F60" s="15"/>
      <c r="G60" s="15"/>
      <c r="H60" s="15"/>
      <c r="I60" s="50"/>
      <c r="J60" s="16"/>
      <c r="K60" s="15"/>
      <c r="L60" s="16"/>
      <c r="M60" s="26"/>
      <c r="N60" s="15"/>
      <c r="O60" s="15"/>
      <c r="P60" s="15"/>
      <c r="Q60" s="15"/>
      <c r="R60" s="15"/>
      <c r="S60" s="16"/>
      <c r="T60" s="16"/>
      <c r="U60" s="16"/>
      <c r="V60" s="16"/>
    </row>
    <row r="61" spans="1:22" ht="13.2" hidden="1">
      <c r="A61" s="12">
        <v>59</v>
      </c>
      <c r="B61" s="46"/>
      <c r="C61" s="14"/>
      <c r="D61" s="26"/>
      <c r="E61" s="15"/>
      <c r="F61" s="15"/>
      <c r="G61" s="15"/>
      <c r="H61" s="15"/>
      <c r="I61" s="15"/>
      <c r="J61" s="15"/>
      <c r="K61" s="15"/>
      <c r="L61" s="16"/>
      <c r="M61" s="26"/>
      <c r="N61" s="15"/>
      <c r="O61" s="15"/>
      <c r="P61" s="15"/>
      <c r="Q61" s="15"/>
      <c r="R61" s="15"/>
      <c r="S61" s="16"/>
      <c r="T61" s="16"/>
      <c r="U61" s="16"/>
      <c r="V61" s="16"/>
    </row>
    <row r="62" spans="1:22" ht="13.2" hidden="1">
      <c r="A62" s="12">
        <v>60</v>
      </c>
      <c r="B62" s="46"/>
      <c r="C62" s="14"/>
      <c r="D62" s="26"/>
      <c r="E62" s="15"/>
      <c r="F62" s="15"/>
      <c r="G62" s="15"/>
      <c r="H62" s="15"/>
      <c r="I62" s="15"/>
      <c r="J62" s="15"/>
      <c r="K62" s="15"/>
      <c r="L62" s="16"/>
      <c r="M62" s="26"/>
      <c r="N62" s="15"/>
      <c r="O62" s="15"/>
      <c r="P62" s="15"/>
      <c r="Q62" s="15"/>
      <c r="R62" s="15"/>
      <c r="S62" s="16"/>
      <c r="T62" s="16"/>
      <c r="U62" s="16"/>
      <c r="V62" s="16"/>
    </row>
    <row r="63" spans="1:22" ht="13.2" hidden="1">
      <c r="A63" s="12">
        <v>61</v>
      </c>
      <c r="B63" s="46"/>
      <c r="C63" s="14"/>
      <c r="D63" s="26"/>
      <c r="E63" s="15"/>
      <c r="F63" s="62"/>
      <c r="G63" s="15"/>
      <c r="H63" s="15"/>
      <c r="I63" s="15"/>
      <c r="J63" s="62"/>
      <c r="K63" s="15"/>
      <c r="L63" s="16"/>
      <c r="M63" s="26"/>
      <c r="N63" s="62"/>
      <c r="O63" s="15"/>
      <c r="P63" s="15"/>
      <c r="Q63" s="15"/>
      <c r="R63" s="15"/>
      <c r="S63" s="16"/>
      <c r="T63" s="16"/>
      <c r="U63" s="16"/>
      <c r="V63" s="16"/>
    </row>
    <row r="64" spans="1:22" ht="13.2" hidden="1">
      <c r="A64" s="12">
        <v>62</v>
      </c>
      <c r="B64" s="91"/>
      <c r="C64" s="14"/>
      <c r="D64" s="26"/>
      <c r="E64" s="15"/>
      <c r="F64" s="15"/>
      <c r="G64" s="15"/>
      <c r="H64" s="15"/>
      <c r="I64" s="15"/>
      <c r="J64" s="15"/>
      <c r="K64" s="15"/>
      <c r="L64" s="16"/>
      <c r="M64" s="26"/>
      <c r="N64" s="15"/>
      <c r="O64" s="15"/>
      <c r="P64" s="15"/>
      <c r="Q64" s="15"/>
      <c r="R64" s="15"/>
      <c r="S64" s="16"/>
      <c r="T64" s="16"/>
      <c r="U64" s="16"/>
      <c r="V64" s="16"/>
    </row>
    <row r="65" spans="1:22" ht="13.2" hidden="1">
      <c r="A65" s="12">
        <v>63</v>
      </c>
      <c r="B65" s="26"/>
      <c r="C65" s="14"/>
      <c r="D65" s="26"/>
      <c r="E65" s="15"/>
      <c r="F65" s="15"/>
      <c r="G65" s="15"/>
      <c r="H65" s="15"/>
      <c r="I65" s="15"/>
      <c r="J65" s="15"/>
      <c r="K65" s="15"/>
      <c r="L65" s="16"/>
      <c r="M65" s="26"/>
      <c r="N65" s="15"/>
      <c r="O65" s="15"/>
      <c r="P65" s="15"/>
      <c r="Q65" s="15"/>
      <c r="R65" s="15"/>
      <c r="S65" s="16"/>
      <c r="T65" s="16"/>
      <c r="U65" s="16"/>
      <c r="V65" s="16"/>
    </row>
    <row r="66" spans="1:22" ht="13.2" hidden="1">
      <c r="A66" s="12">
        <v>64</v>
      </c>
      <c r="B66" s="26"/>
      <c r="C66" s="14"/>
      <c r="D66" s="26"/>
      <c r="E66" s="15"/>
      <c r="F66" s="15"/>
      <c r="G66" s="15"/>
      <c r="H66" s="15"/>
      <c r="I66" s="15"/>
      <c r="J66" s="15"/>
      <c r="K66" s="15"/>
      <c r="L66" s="16"/>
      <c r="M66" s="26"/>
      <c r="N66" s="15"/>
      <c r="O66" s="15"/>
      <c r="P66" s="15"/>
      <c r="Q66" s="15"/>
      <c r="R66" s="15"/>
      <c r="S66" s="16"/>
      <c r="T66" s="16"/>
      <c r="U66" s="16"/>
      <c r="V66" s="16"/>
    </row>
    <row r="67" spans="1:22" ht="13.2" hidden="1">
      <c r="A67" s="12">
        <v>65</v>
      </c>
      <c r="B67" s="46"/>
      <c r="C67" s="14"/>
      <c r="D67" s="26"/>
      <c r="E67" s="15"/>
      <c r="F67" s="15"/>
      <c r="G67" s="15"/>
      <c r="H67" s="15"/>
      <c r="I67" s="15"/>
      <c r="J67" s="15"/>
      <c r="K67" s="15"/>
      <c r="L67" s="16"/>
      <c r="M67" s="26"/>
      <c r="N67" s="15"/>
      <c r="O67" s="15"/>
      <c r="P67" s="15"/>
      <c r="Q67" s="15"/>
      <c r="R67" s="15"/>
      <c r="S67" s="16"/>
      <c r="T67" s="16"/>
      <c r="U67" s="16"/>
      <c r="V67" s="16"/>
    </row>
    <row r="68" spans="1:22" ht="13.2" hidden="1">
      <c r="A68" s="12">
        <v>66</v>
      </c>
      <c r="B68" s="91"/>
      <c r="C68" s="14"/>
      <c r="D68" s="26"/>
      <c r="E68" s="15"/>
      <c r="F68" s="15"/>
      <c r="G68" s="15"/>
      <c r="H68" s="15"/>
      <c r="I68" s="15"/>
      <c r="J68" s="15"/>
      <c r="K68" s="15"/>
      <c r="L68" s="16"/>
      <c r="M68" s="26"/>
      <c r="N68" s="15"/>
      <c r="O68" s="15"/>
      <c r="P68" s="15"/>
      <c r="Q68" s="15"/>
      <c r="R68" s="15"/>
      <c r="S68" s="16"/>
      <c r="T68" s="16"/>
      <c r="U68" s="16"/>
      <c r="V68" s="16"/>
    </row>
    <row r="69" spans="1:22" ht="13.2" hidden="1">
      <c r="A69" s="12">
        <v>67</v>
      </c>
      <c r="B69" s="46"/>
      <c r="C69" s="14"/>
      <c r="D69" s="26"/>
      <c r="E69" s="15"/>
      <c r="F69" s="15"/>
      <c r="G69" s="15"/>
      <c r="H69" s="15"/>
      <c r="I69" s="15"/>
      <c r="J69" s="15"/>
      <c r="K69" s="15"/>
      <c r="L69" s="16"/>
      <c r="M69" s="26"/>
      <c r="N69" s="15"/>
      <c r="O69" s="15"/>
      <c r="P69" s="15"/>
      <c r="Q69" s="15"/>
      <c r="R69" s="15"/>
      <c r="S69" s="16"/>
      <c r="T69" s="16"/>
      <c r="U69" s="16"/>
      <c r="V69" s="16"/>
    </row>
    <row r="70" spans="1:22" ht="13.2" hidden="1">
      <c r="A70" s="12">
        <v>68</v>
      </c>
      <c r="B70" s="46"/>
      <c r="C70" s="14"/>
      <c r="D70" s="26"/>
      <c r="E70" s="15"/>
      <c r="F70" s="15"/>
      <c r="G70" s="15"/>
      <c r="H70" s="15"/>
      <c r="I70" s="15"/>
      <c r="J70" s="15"/>
      <c r="K70" s="15"/>
      <c r="L70" s="16"/>
      <c r="M70" s="26"/>
      <c r="N70" s="15"/>
      <c r="O70" s="15"/>
      <c r="P70" s="15"/>
      <c r="Q70" s="15"/>
      <c r="R70" s="15"/>
      <c r="S70" s="16"/>
      <c r="T70" s="16"/>
      <c r="U70" s="16"/>
      <c r="V70" s="16"/>
    </row>
    <row r="71" spans="1:22" ht="13.2" hidden="1">
      <c r="A71" s="12">
        <v>69</v>
      </c>
      <c r="B71" s="26"/>
      <c r="C71" s="14"/>
      <c r="D71" s="26"/>
      <c r="E71" s="15"/>
      <c r="F71" s="15"/>
      <c r="G71" s="15"/>
      <c r="H71" s="15"/>
      <c r="I71" s="15"/>
      <c r="J71" s="15"/>
      <c r="K71" s="15"/>
      <c r="L71" s="16"/>
      <c r="M71" s="26"/>
      <c r="N71" s="15"/>
      <c r="O71" s="15"/>
      <c r="P71" s="15"/>
      <c r="Q71" s="15"/>
      <c r="R71" s="15"/>
      <c r="S71" s="16"/>
      <c r="T71" s="16"/>
      <c r="U71" s="16"/>
      <c r="V71" s="16"/>
    </row>
    <row r="72" spans="1:22" ht="13.2" hidden="1">
      <c r="A72" s="12">
        <v>70</v>
      </c>
      <c r="B72" s="26"/>
      <c r="C72" s="14"/>
      <c r="D72" s="26"/>
      <c r="E72" s="15"/>
      <c r="F72" s="15"/>
      <c r="G72" s="15"/>
      <c r="H72" s="15"/>
      <c r="I72" s="15"/>
      <c r="J72" s="17"/>
      <c r="K72" s="15"/>
      <c r="L72" s="16"/>
      <c r="M72" s="26"/>
      <c r="N72" s="15"/>
      <c r="O72" s="15"/>
      <c r="P72" s="15"/>
      <c r="Q72" s="15"/>
      <c r="R72" s="15"/>
      <c r="S72" s="16"/>
      <c r="T72" s="16"/>
      <c r="U72" s="16"/>
      <c r="V72" s="16"/>
    </row>
    <row r="73" spans="1:22" ht="13.2" hidden="1">
      <c r="A73" s="12">
        <v>71</v>
      </c>
      <c r="B73" s="91"/>
      <c r="C73" s="14"/>
      <c r="D73" s="26"/>
      <c r="E73" s="15"/>
      <c r="F73" s="15"/>
      <c r="G73" s="15"/>
      <c r="H73" s="15"/>
      <c r="I73" s="15"/>
      <c r="J73" s="15"/>
      <c r="K73" s="15"/>
      <c r="L73" s="16"/>
      <c r="M73" s="26"/>
      <c r="N73" s="15"/>
      <c r="O73" s="15"/>
      <c r="P73" s="15"/>
      <c r="Q73" s="15"/>
      <c r="R73" s="15"/>
      <c r="S73" s="16"/>
      <c r="T73" s="16"/>
      <c r="U73" s="16"/>
      <c r="V73" s="16"/>
    </row>
    <row r="74" spans="1:22" ht="13.2" hidden="1">
      <c r="A74" s="12">
        <v>72</v>
      </c>
      <c r="B74" s="46"/>
      <c r="C74" s="14"/>
      <c r="D74" s="26"/>
      <c r="E74" s="15"/>
      <c r="F74" s="15"/>
      <c r="G74" s="15"/>
      <c r="H74" s="15"/>
      <c r="I74" s="15"/>
      <c r="J74" s="15"/>
      <c r="K74" s="15"/>
      <c r="L74" s="16"/>
      <c r="M74" s="26"/>
      <c r="N74" s="15"/>
      <c r="O74" s="15"/>
      <c r="P74" s="15"/>
      <c r="Q74" s="15"/>
      <c r="R74" s="15"/>
      <c r="S74" s="16"/>
      <c r="T74" s="16"/>
      <c r="U74" s="16"/>
      <c r="V74" s="16"/>
    </row>
    <row r="75" spans="1:22" ht="13.2" hidden="1">
      <c r="A75" s="12">
        <v>73</v>
      </c>
      <c r="B75" s="46"/>
      <c r="C75" s="14"/>
      <c r="D75" s="26"/>
      <c r="E75" s="15"/>
      <c r="F75" s="15"/>
      <c r="G75" s="15"/>
      <c r="H75" s="15"/>
      <c r="I75" s="15"/>
      <c r="J75" s="15"/>
      <c r="K75" s="15"/>
      <c r="L75" s="16"/>
      <c r="M75" s="26"/>
      <c r="N75" s="15"/>
      <c r="O75" s="15"/>
      <c r="P75" s="15"/>
      <c r="Q75" s="15"/>
      <c r="R75" s="15"/>
      <c r="S75" s="16"/>
      <c r="T75" s="16"/>
      <c r="U75" s="16"/>
      <c r="V75" s="16"/>
    </row>
    <row r="76" spans="1:22" ht="13.2" hidden="1">
      <c r="A76" s="12">
        <v>74</v>
      </c>
      <c r="B76" s="46"/>
      <c r="C76" s="14"/>
      <c r="D76" s="26"/>
      <c r="E76" s="15"/>
      <c r="F76" s="15"/>
      <c r="G76" s="15"/>
      <c r="H76" s="15"/>
      <c r="I76" s="15"/>
      <c r="J76" s="15"/>
      <c r="K76" s="15"/>
      <c r="L76" s="16"/>
      <c r="M76" s="26"/>
      <c r="N76" s="15"/>
      <c r="O76" s="15"/>
      <c r="P76" s="15"/>
      <c r="Q76" s="15"/>
      <c r="R76" s="15"/>
      <c r="S76" s="16"/>
      <c r="T76" s="16"/>
      <c r="U76" s="16"/>
      <c r="V76" s="16"/>
    </row>
    <row r="77" spans="1:22" ht="13.2" hidden="1">
      <c r="A77" s="12">
        <v>75</v>
      </c>
      <c r="B77" s="46"/>
      <c r="C77" s="14"/>
      <c r="D77" s="26"/>
      <c r="E77" s="37"/>
      <c r="F77" s="37"/>
      <c r="G77" s="15"/>
      <c r="H77" s="15"/>
      <c r="I77" s="15"/>
      <c r="J77" s="15"/>
      <c r="K77" s="15"/>
      <c r="L77" s="16"/>
      <c r="M77" s="26"/>
      <c r="N77" s="37"/>
      <c r="O77" s="15"/>
      <c r="P77" s="15"/>
      <c r="Q77" s="15"/>
      <c r="R77" s="15"/>
      <c r="S77" s="16"/>
      <c r="T77" s="16"/>
      <c r="U77" s="16"/>
      <c r="V77" s="16"/>
    </row>
    <row r="78" spans="1:22" ht="13.2" hidden="1">
      <c r="A78" s="12">
        <v>76</v>
      </c>
      <c r="B78" s="46"/>
      <c r="C78" s="12"/>
      <c r="D78" s="26"/>
      <c r="E78" s="15"/>
      <c r="F78" s="15"/>
      <c r="G78" s="16"/>
      <c r="H78" s="16"/>
      <c r="I78" s="16"/>
      <c r="J78" s="16"/>
      <c r="K78" s="16"/>
      <c r="L78" s="16"/>
      <c r="M78" s="15"/>
      <c r="N78" s="15"/>
      <c r="O78" s="16"/>
      <c r="P78" s="16"/>
      <c r="Q78" s="16"/>
      <c r="R78" s="16"/>
      <c r="S78" s="16"/>
      <c r="T78" s="16"/>
      <c r="U78" s="16"/>
      <c r="V78" s="16"/>
    </row>
    <row r="79" spans="1:22" ht="13.2" hidden="1">
      <c r="A79" s="12">
        <v>77</v>
      </c>
      <c r="B79" s="46"/>
      <c r="C79" s="12"/>
      <c r="D79" s="15"/>
      <c r="E79" s="15"/>
      <c r="F79" s="15"/>
      <c r="G79" s="16"/>
      <c r="H79" s="16"/>
      <c r="I79" s="16"/>
      <c r="J79" s="16"/>
      <c r="K79" s="16"/>
      <c r="L79" s="16"/>
      <c r="M79" s="15"/>
      <c r="N79" s="15"/>
      <c r="O79" s="16"/>
      <c r="P79" s="16"/>
      <c r="Q79" s="16"/>
      <c r="R79" s="16"/>
      <c r="S79" s="16"/>
      <c r="T79" s="16"/>
      <c r="U79" s="16"/>
      <c r="V79" s="16"/>
    </row>
    <row r="80" spans="1:22" ht="13.2" hidden="1">
      <c r="A80" s="12">
        <v>78</v>
      </c>
      <c r="B80" s="46"/>
      <c r="C80" s="12"/>
      <c r="D80" s="15"/>
      <c r="E80" s="15"/>
      <c r="F80" s="15"/>
      <c r="G80" s="16"/>
      <c r="H80" s="16"/>
      <c r="I80" s="16"/>
      <c r="J80" s="16"/>
      <c r="K80" s="16"/>
      <c r="L80" s="16"/>
      <c r="M80" s="15"/>
      <c r="N80" s="15"/>
      <c r="O80" s="16"/>
      <c r="P80" s="16"/>
      <c r="Q80" s="16"/>
      <c r="R80" s="16"/>
      <c r="S80" s="16"/>
      <c r="T80" s="16"/>
      <c r="U80" s="16"/>
      <c r="V80" s="16"/>
    </row>
    <row r="81" spans="1:22" ht="13.2" hidden="1">
      <c r="A81" s="12">
        <v>79</v>
      </c>
      <c r="B81" s="46"/>
      <c r="C81" s="12"/>
      <c r="D81" s="15"/>
      <c r="E81" s="15"/>
      <c r="F81" s="15"/>
      <c r="G81" s="16"/>
      <c r="H81" s="16"/>
      <c r="I81" s="16"/>
      <c r="J81" s="16"/>
      <c r="K81" s="16"/>
      <c r="L81" s="16"/>
      <c r="M81" s="15"/>
      <c r="N81" s="15"/>
      <c r="O81" s="16"/>
      <c r="P81" s="16"/>
      <c r="Q81" s="16"/>
      <c r="R81" s="16"/>
      <c r="S81" s="16"/>
      <c r="T81" s="16"/>
      <c r="U81" s="16"/>
      <c r="V81" s="16"/>
    </row>
    <row r="82" spans="1:22" ht="13.2" hidden="1">
      <c r="A82" s="12">
        <v>80</v>
      </c>
      <c r="B82" s="46"/>
      <c r="C82" s="12"/>
      <c r="D82" s="15"/>
      <c r="E82" s="15"/>
      <c r="F82" s="15"/>
      <c r="G82" s="16"/>
      <c r="H82" s="16"/>
      <c r="I82" s="16"/>
      <c r="J82" s="16"/>
      <c r="K82" s="16"/>
      <c r="L82" s="16"/>
      <c r="M82" s="15"/>
      <c r="N82" s="15"/>
      <c r="O82" s="16"/>
      <c r="P82" s="16"/>
      <c r="Q82" s="16"/>
      <c r="R82" s="16"/>
      <c r="S82" s="16"/>
      <c r="T82" s="16"/>
      <c r="U82" s="16"/>
      <c r="V82" s="16"/>
    </row>
    <row r="83" spans="1:22" ht="13.2" hidden="1">
      <c r="A83" s="12">
        <v>81</v>
      </c>
      <c r="B83" s="46"/>
      <c r="C83" s="12"/>
      <c r="D83" s="15"/>
      <c r="E83" s="15"/>
      <c r="F83" s="15"/>
      <c r="G83" s="16"/>
      <c r="H83" s="16"/>
      <c r="I83" s="16"/>
      <c r="J83" s="16"/>
      <c r="K83" s="16"/>
      <c r="L83" s="16"/>
      <c r="M83" s="15"/>
      <c r="N83" s="15"/>
      <c r="O83" s="16"/>
      <c r="P83" s="16"/>
      <c r="Q83" s="16"/>
      <c r="R83" s="16"/>
      <c r="S83" s="16"/>
      <c r="T83" s="16"/>
      <c r="U83" s="16"/>
      <c r="V83" s="16"/>
    </row>
    <row r="84" spans="1:22" ht="13.2" hidden="1">
      <c r="A84" s="12">
        <v>82</v>
      </c>
      <c r="B84" s="46"/>
      <c r="C84" s="12"/>
      <c r="D84" s="15"/>
      <c r="E84" s="15"/>
      <c r="F84" s="15"/>
      <c r="G84" s="16"/>
      <c r="H84" s="16"/>
      <c r="I84" s="16"/>
      <c r="J84" s="16"/>
      <c r="K84" s="16"/>
      <c r="L84" s="16"/>
      <c r="M84" s="15"/>
      <c r="N84" s="15"/>
      <c r="O84" s="16"/>
      <c r="P84" s="16"/>
      <c r="Q84" s="16"/>
      <c r="R84" s="16"/>
      <c r="S84" s="16"/>
      <c r="T84" s="16"/>
      <c r="U84" s="16"/>
      <c r="V84" s="16"/>
    </row>
    <row r="85" spans="1:22" ht="13.2" hidden="1">
      <c r="A85" s="12">
        <v>83</v>
      </c>
      <c r="B85" s="46"/>
      <c r="C85" s="12"/>
      <c r="D85" s="15"/>
      <c r="E85" s="15"/>
      <c r="F85" s="15"/>
      <c r="G85" s="16"/>
      <c r="H85" s="16"/>
      <c r="I85" s="16"/>
      <c r="J85" s="16"/>
      <c r="K85" s="16"/>
      <c r="L85" s="16"/>
      <c r="M85" s="15"/>
      <c r="N85" s="15"/>
      <c r="O85" s="16"/>
      <c r="P85" s="16"/>
      <c r="Q85" s="16"/>
      <c r="R85" s="16"/>
      <c r="S85" s="16"/>
      <c r="T85" s="16"/>
      <c r="U85" s="16"/>
      <c r="V85" s="16"/>
    </row>
    <row r="86" spans="1:22" ht="13.2" hidden="1">
      <c r="A86" s="12">
        <v>84</v>
      </c>
      <c r="B86" s="46"/>
      <c r="C86" s="12"/>
      <c r="D86" s="15"/>
      <c r="E86" s="15"/>
      <c r="F86" s="15"/>
      <c r="G86" s="16"/>
      <c r="H86" s="16"/>
      <c r="I86" s="16"/>
      <c r="J86" s="16"/>
      <c r="K86" s="16"/>
      <c r="L86" s="16"/>
      <c r="M86" s="15"/>
      <c r="N86" s="15"/>
      <c r="O86" s="16"/>
      <c r="P86" s="16"/>
      <c r="Q86" s="16"/>
      <c r="R86" s="16"/>
      <c r="S86" s="16"/>
      <c r="T86" s="16"/>
      <c r="U86" s="16"/>
      <c r="V86" s="16"/>
    </row>
    <row r="87" spans="1:22" ht="13.2" hidden="1">
      <c r="A87" s="12"/>
      <c r="B87" s="46"/>
      <c r="C87" s="12"/>
      <c r="D87" s="15"/>
      <c r="E87" s="15"/>
      <c r="F87" s="15"/>
      <c r="G87" s="16"/>
      <c r="H87" s="16"/>
      <c r="I87" s="16"/>
      <c r="J87" s="16"/>
      <c r="K87" s="16"/>
      <c r="L87" s="16"/>
      <c r="M87" s="15"/>
      <c r="N87" s="15"/>
      <c r="O87" s="16"/>
      <c r="P87" s="16"/>
      <c r="Q87" s="16"/>
      <c r="R87" s="16"/>
      <c r="S87" s="16"/>
      <c r="T87" s="16"/>
      <c r="U87" s="16"/>
      <c r="V87" s="16"/>
    </row>
    <row r="88" spans="1:22" ht="13.2" hidden="1">
      <c r="A88" s="12"/>
      <c r="B88" s="46"/>
      <c r="C88" s="12"/>
      <c r="D88" s="15"/>
      <c r="E88" s="15"/>
      <c r="F88" s="15"/>
      <c r="G88" s="16"/>
      <c r="H88" s="16"/>
      <c r="I88" s="16"/>
      <c r="J88" s="16"/>
      <c r="K88" s="16"/>
      <c r="L88" s="16"/>
      <c r="M88" s="15"/>
      <c r="N88" s="15"/>
      <c r="O88" s="16"/>
      <c r="P88" s="16"/>
      <c r="Q88" s="16"/>
      <c r="R88" s="16"/>
      <c r="S88" s="16"/>
      <c r="T88" s="16"/>
      <c r="U88" s="16"/>
      <c r="V88" s="16"/>
    </row>
    <row r="89" spans="1:22" ht="13.2" hidden="1">
      <c r="A89" s="12"/>
      <c r="B89" s="46"/>
      <c r="C89" s="12"/>
      <c r="D89" s="15"/>
      <c r="E89" s="15"/>
      <c r="F89" s="15"/>
      <c r="G89" s="16"/>
      <c r="H89" s="16"/>
      <c r="I89" s="16"/>
      <c r="J89" s="16"/>
      <c r="K89" s="16"/>
      <c r="L89" s="16"/>
      <c r="M89" s="15"/>
      <c r="N89" s="15"/>
      <c r="O89" s="16"/>
      <c r="P89" s="16"/>
      <c r="Q89" s="16"/>
      <c r="R89" s="16"/>
      <c r="S89" s="16"/>
      <c r="T89" s="16"/>
      <c r="U89" s="16"/>
      <c r="V89" s="16"/>
    </row>
    <row r="90" spans="1:22" ht="13.2" hidden="1">
      <c r="A90" s="12"/>
      <c r="B90" s="46"/>
      <c r="C90" s="12"/>
      <c r="D90" s="15"/>
      <c r="E90" s="15"/>
      <c r="F90" s="15"/>
      <c r="G90" s="16"/>
      <c r="H90" s="16"/>
      <c r="I90" s="16"/>
      <c r="J90" s="16"/>
      <c r="K90" s="16"/>
      <c r="L90" s="16"/>
      <c r="M90" s="15"/>
      <c r="N90" s="15"/>
      <c r="O90" s="16"/>
      <c r="P90" s="16"/>
      <c r="Q90" s="16"/>
      <c r="R90" s="16"/>
      <c r="S90" s="16"/>
      <c r="T90" s="16"/>
      <c r="U90" s="16"/>
      <c r="V90" s="16"/>
    </row>
    <row r="91" spans="1:22" ht="13.2" hidden="1">
      <c r="A91" s="12"/>
      <c r="B91" s="46"/>
      <c r="C91" s="12"/>
      <c r="D91" s="15"/>
      <c r="E91" s="15"/>
      <c r="F91" s="15"/>
      <c r="G91" s="16"/>
      <c r="H91" s="16"/>
      <c r="I91" s="16"/>
      <c r="J91" s="16"/>
      <c r="K91" s="16"/>
      <c r="L91" s="16"/>
      <c r="M91" s="15"/>
      <c r="N91" s="15"/>
      <c r="O91" s="16"/>
      <c r="P91" s="16"/>
      <c r="Q91" s="16"/>
      <c r="R91" s="16"/>
      <c r="S91" s="16"/>
      <c r="T91" s="16"/>
      <c r="U91" s="16"/>
      <c r="V91" s="16"/>
    </row>
    <row r="92" spans="1:22" ht="13.2" hidden="1">
      <c r="A92" s="12"/>
      <c r="B92" s="46"/>
      <c r="C92" s="12"/>
      <c r="D92" s="15"/>
      <c r="E92" s="15"/>
      <c r="F92" s="15"/>
      <c r="G92" s="16"/>
      <c r="H92" s="16"/>
      <c r="I92" s="16"/>
      <c r="J92" s="16"/>
      <c r="K92" s="16"/>
      <c r="L92" s="16"/>
      <c r="M92" s="15"/>
      <c r="N92" s="15"/>
      <c r="O92" s="16"/>
      <c r="P92" s="16"/>
      <c r="Q92" s="16"/>
      <c r="R92" s="16"/>
      <c r="S92" s="16"/>
      <c r="T92" s="16"/>
      <c r="U92" s="16"/>
      <c r="V92" s="16"/>
    </row>
    <row r="93" spans="1:22" ht="13.2" hidden="1">
      <c r="A93" s="12"/>
      <c r="B93" s="46"/>
      <c r="C93" s="12"/>
      <c r="D93" s="15"/>
      <c r="E93" s="15"/>
      <c r="F93" s="15"/>
      <c r="G93" s="16"/>
      <c r="H93" s="16"/>
      <c r="I93" s="16"/>
      <c r="J93" s="16"/>
      <c r="K93" s="16"/>
      <c r="L93" s="16"/>
      <c r="M93" s="15"/>
      <c r="N93" s="15"/>
      <c r="O93" s="16"/>
      <c r="P93" s="16"/>
      <c r="Q93" s="16"/>
      <c r="R93" s="16"/>
      <c r="S93" s="16"/>
      <c r="T93" s="16"/>
      <c r="U93" s="16"/>
      <c r="V93" s="16"/>
    </row>
    <row r="94" spans="1:22" ht="13.2" hidden="1">
      <c r="A94" s="12"/>
      <c r="B94" s="46"/>
      <c r="C94" s="12"/>
      <c r="D94" s="15"/>
      <c r="E94" s="15"/>
      <c r="F94" s="15"/>
      <c r="G94" s="16"/>
      <c r="H94" s="16"/>
      <c r="I94" s="16"/>
      <c r="J94" s="16"/>
      <c r="K94" s="16"/>
      <c r="L94" s="16"/>
      <c r="M94" s="15"/>
      <c r="N94" s="15"/>
      <c r="O94" s="16"/>
      <c r="P94" s="16"/>
      <c r="Q94" s="16"/>
      <c r="R94" s="16"/>
      <c r="S94" s="16"/>
      <c r="T94" s="16"/>
      <c r="U94" s="16"/>
      <c r="V94" s="16"/>
    </row>
    <row r="95" spans="1:22" ht="13.2" hidden="1">
      <c r="A95" s="12"/>
      <c r="B95" s="46"/>
      <c r="C95" s="12"/>
      <c r="D95" s="15"/>
      <c r="E95" s="15"/>
      <c r="F95" s="15"/>
      <c r="G95" s="16"/>
      <c r="H95" s="16"/>
      <c r="I95" s="16"/>
      <c r="J95" s="16"/>
      <c r="K95" s="16"/>
      <c r="L95" s="16"/>
      <c r="M95" s="15"/>
      <c r="N95" s="15"/>
      <c r="O95" s="16"/>
      <c r="P95" s="16"/>
      <c r="Q95" s="16"/>
      <c r="R95" s="16"/>
      <c r="S95" s="16"/>
      <c r="T95" s="16"/>
      <c r="U95" s="16"/>
      <c r="V95" s="16"/>
    </row>
    <row r="96" spans="1:22" ht="13.2" hidden="1">
      <c r="A96" s="12"/>
      <c r="B96" s="46"/>
      <c r="C96" s="12"/>
      <c r="D96" s="15"/>
      <c r="E96" s="15"/>
      <c r="F96" s="15"/>
      <c r="G96" s="16"/>
      <c r="H96" s="16"/>
      <c r="I96" s="16"/>
      <c r="J96" s="16"/>
      <c r="K96" s="16"/>
      <c r="L96" s="16"/>
      <c r="M96" s="15"/>
      <c r="N96" s="15"/>
      <c r="O96" s="16"/>
      <c r="P96" s="16"/>
      <c r="Q96" s="16"/>
      <c r="R96" s="16"/>
      <c r="S96" s="16"/>
      <c r="T96" s="16"/>
      <c r="U96" s="16"/>
      <c r="V96" s="16"/>
    </row>
    <row r="97" spans="1:22" ht="13.2" hidden="1">
      <c r="A97" s="12"/>
      <c r="B97" s="46"/>
      <c r="C97" s="12"/>
      <c r="D97" s="15"/>
      <c r="E97" s="15"/>
      <c r="F97" s="15"/>
      <c r="G97" s="16"/>
      <c r="H97" s="16"/>
      <c r="I97" s="16"/>
      <c r="J97" s="16"/>
      <c r="K97" s="16"/>
      <c r="L97" s="16"/>
      <c r="M97" s="15"/>
      <c r="N97" s="15"/>
      <c r="O97" s="16"/>
      <c r="P97" s="16"/>
      <c r="Q97" s="16"/>
      <c r="R97" s="16"/>
      <c r="S97" s="16"/>
      <c r="T97" s="16"/>
      <c r="U97" s="16"/>
      <c r="V97" s="16"/>
    </row>
    <row r="98" spans="1:22" ht="13.2" hidden="1">
      <c r="A98" s="12"/>
      <c r="B98" s="46"/>
      <c r="C98" s="12"/>
      <c r="D98" s="15"/>
      <c r="E98" s="15"/>
      <c r="F98" s="15"/>
      <c r="G98" s="16"/>
      <c r="H98" s="16"/>
      <c r="I98" s="16"/>
      <c r="J98" s="16"/>
      <c r="K98" s="16"/>
      <c r="L98" s="16"/>
      <c r="M98" s="15"/>
      <c r="N98" s="15"/>
      <c r="O98" s="16"/>
      <c r="P98" s="16"/>
      <c r="Q98" s="16"/>
      <c r="R98" s="16"/>
      <c r="S98" s="16"/>
      <c r="T98" s="16"/>
      <c r="U98" s="16"/>
      <c r="V98" s="16"/>
    </row>
    <row r="99" spans="1:22" ht="13.2" hidden="1">
      <c r="A99" s="12"/>
      <c r="B99" s="46"/>
      <c r="C99" s="12"/>
      <c r="D99" s="15"/>
      <c r="E99" s="15"/>
      <c r="F99" s="15"/>
      <c r="G99" s="16"/>
      <c r="H99" s="16"/>
      <c r="I99" s="16"/>
      <c r="J99" s="16"/>
      <c r="K99" s="16"/>
      <c r="L99" s="16"/>
      <c r="M99" s="15"/>
      <c r="N99" s="15"/>
      <c r="O99" s="16"/>
      <c r="P99" s="16"/>
      <c r="Q99" s="16"/>
      <c r="R99" s="16"/>
      <c r="S99" s="16"/>
      <c r="T99" s="16"/>
      <c r="U99" s="16"/>
      <c r="V99" s="16"/>
    </row>
    <row r="100" spans="1:22" ht="13.2" hidden="1">
      <c r="A100" s="12"/>
      <c r="B100" s="46"/>
      <c r="C100" s="12"/>
      <c r="D100" s="15"/>
      <c r="E100" s="15"/>
      <c r="F100" s="15"/>
      <c r="G100" s="16"/>
      <c r="H100" s="16"/>
      <c r="I100" s="16"/>
      <c r="J100" s="16"/>
      <c r="K100" s="16"/>
      <c r="L100" s="16"/>
      <c r="M100" s="15"/>
      <c r="N100" s="15"/>
      <c r="O100" s="16"/>
      <c r="P100" s="16"/>
      <c r="Q100" s="16"/>
      <c r="R100" s="16"/>
      <c r="S100" s="16"/>
      <c r="T100" s="16"/>
      <c r="U100" s="16"/>
      <c r="V100" s="16"/>
    </row>
    <row r="101" spans="1:22" ht="13.2" hidden="1">
      <c r="A101" s="12"/>
      <c r="B101" s="46"/>
      <c r="C101" s="12"/>
      <c r="D101" s="15"/>
      <c r="E101" s="15"/>
      <c r="F101" s="15"/>
      <c r="G101" s="16"/>
      <c r="H101" s="16"/>
      <c r="I101" s="16"/>
      <c r="J101" s="16"/>
      <c r="K101" s="16"/>
      <c r="L101" s="16"/>
      <c r="M101" s="15"/>
      <c r="N101" s="15"/>
      <c r="O101" s="16"/>
      <c r="P101" s="16"/>
      <c r="Q101" s="16"/>
      <c r="R101" s="16"/>
      <c r="S101" s="16"/>
      <c r="T101" s="16"/>
      <c r="U101" s="16"/>
      <c r="V101" s="16"/>
    </row>
    <row r="102" spans="1:22" ht="13.2" hidden="1">
      <c r="A102" s="12"/>
      <c r="B102" s="46"/>
      <c r="C102" s="12"/>
      <c r="D102" s="15"/>
      <c r="E102" s="15"/>
      <c r="F102" s="15"/>
      <c r="G102" s="16"/>
      <c r="H102" s="16"/>
      <c r="I102" s="16"/>
      <c r="J102" s="16"/>
      <c r="K102" s="16"/>
      <c r="L102" s="16"/>
      <c r="M102" s="15"/>
      <c r="N102" s="15"/>
      <c r="O102" s="16"/>
      <c r="P102" s="16"/>
      <c r="Q102" s="16"/>
      <c r="R102" s="16"/>
      <c r="S102" s="16"/>
      <c r="T102" s="16"/>
      <c r="U102" s="16"/>
      <c r="V102" s="16"/>
    </row>
    <row r="103" spans="1:22" ht="13.2" hidden="1">
      <c r="A103" s="12"/>
      <c r="B103" s="46"/>
      <c r="C103" s="12"/>
      <c r="D103" s="15"/>
      <c r="E103" s="15"/>
      <c r="F103" s="15"/>
      <c r="G103" s="16"/>
      <c r="H103" s="16"/>
      <c r="I103" s="16"/>
      <c r="J103" s="16"/>
      <c r="K103" s="16"/>
      <c r="L103" s="16"/>
      <c r="M103" s="15"/>
      <c r="N103" s="15"/>
      <c r="O103" s="16"/>
      <c r="P103" s="16"/>
      <c r="Q103" s="16"/>
      <c r="R103" s="16"/>
      <c r="S103" s="16"/>
      <c r="T103" s="16"/>
      <c r="U103" s="16"/>
      <c r="V103" s="16"/>
    </row>
    <row r="104" spans="1:22" ht="13.2" hidden="1">
      <c r="A104" s="12"/>
      <c r="B104" s="46"/>
      <c r="C104" s="12"/>
      <c r="D104" s="15"/>
      <c r="E104" s="15"/>
      <c r="F104" s="15"/>
      <c r="G104" s="16"/>
      <c r="H104" s="16"/>
      <c r="I104" s="16"/>
      <c r="J104" s="16"/>
      <c r="K104" s="16"/>
      <c r="L104" s="16"/>
      <c r="M104" s="15"/>
      <c r="N104" s="15"/>
      <c r="O104" s="16"/>
      <c r="P104" s="16"/>
      <c r="Q104" s="16"/>
      <c r="R104" s="16"/>
      <c r="S104" s="16"/>
      <c r="T104" s="16"/>
      <c r="U104" s="16"/>
      <c r="V104" s="16"/>
    </row>
    <row r="105" spans="1:22" ht="13.2" hidden="1">
      <c r="A105" s="12"/>
      <c r="B105" s="46"/>
      <c r="C105" s="12"/>
      <c r="D105" s="15"/>
      <c r="E105" s="15"/>
      <c r="F105" s="15"/>
      <c r="G105" s="16"/>
      <c r="H105" s="16"/>
      <c r="I105" s="16"/>
      <c r="J105" s="16"/>
      <c r="K105" s="16"/>
      <c r="L105" s="16"/>
      <c r="M105" s="15"/>
      <c r="N105" s="15"/>
      <c r="O105" s="16"/>
      <c r="P105" s="16"/>
      <c r="Q105" s="16"/>
      <c r="R105" s="16"/>
      <c r="S105" s="16"/>
      <c r="T105" s="16"/>
      <c r="U105" s="16"/>
      <c r="V105" s="16"/>
    </row>
    <row r="106" spans="1:22" ht="13.2" hidden="1">
      <c r="A106" s="12"/>
      <c r="B106" s="46"/>
      <c r="C106" s="12"/>
      <c r="D106" s="15"/>
      <c r="E106" s="15"/>
      <c r="F106" s="15"/>
      <c r="G106" s="16"/>
      <c r="H106" s="16"/>
      <c r="I106" s="16"/>
      <c r="J106" s="16"/>
      <c r="K106" s="16"/>
      <c r="L106" s="16"/>
      <c r="M106" s="15"/>
      <c r="N106" s="15"/>
      <c r="O106" s="16"/>
      <c r="P106" s="16"/>
      <c r="Q106" s="16"/>
      <c r="R106" s="16"/>
      <c r="S106" s="16"/>
      <c r="T106" s="16"/>
      <c r="U106" s="16"/>
      <c r="V106" s="16"/>
    </row>
    <row r="107" spans="1:22" ht="13.2" hidden="1">
      <c r="A107" s="12"/>
      <c r="B107" s="46"/>
      <c r="C107" s="12"/>
      <c r="D107" s="15"/>
      <c r="E107" s="15"/>
      <c r="F107" s="15"/>
      <c r="G107" s="16"/>
      <c r="H107" s="16"/>
      <c r="I107" s="16"/>
      <c r="J107" s="16"/>
      <c r="K107" s="16"/>
      <c r="L107" s="16"/>
      <c r="M107" s="15"/>
      <c r="N107" s="15"/>
      <c r="O107" s="16"/>
      <c r="P107" s="16"/>
      <c r="Q107" s="16"/>
      <c r="R107" s="16"/>
      <c r="S107" s="16"/>
      <c r="T107" s="16"/>
      <c r="U107" s="16"/>
      <c r="V107" s="16"/>
    </row>
    <row r="108" spans="1:22" ht="13.2" hidden="1">
      <c r="A108" s="12"/>
      <c r="B108" s="46"/>
      <c r="C108" s="12"/>
      <c r="D108" s="15"/>
      <c r="E108" s="15"/>
      <c r="F108" s="15"/>
      <c r="G108" s="16"/>
      <c r="H108" s="16"/>
      <c r="I108" s="16"/>
      <c r="J108" s="16"/>
      <c r="K108" s="16"/>
      <c r="L108" s="16"/>
      <c r="M108" s="15"/>
      <c r="N108" s="15"/>
      <c r="O108" s="16"/>
      <c r="P108" s="16"/>
      <c r="Q108" s="16"/>
      <c r="R108" s="16"/>
      <c r="S108" s="16"/>
      <c r="T108" s="16"/>
      <c r="U108" s="16"/>
      <c r="V108" s="16"/>
    </row>
    <row r="109" spans="1:22" ht="13.2" hidden="1">
      <c r="A109" s="12"/>
      <c r="B109" s="46"/>
      <c r="C109" s="12"/>
      <c r="D109" s="15"/>
      <c r="E109" s="15"/>
      <c r="F109" s="15"/>
      <c r="G109" s="16"/>
      <c r="H109" s="16"/>
      <c r="I109" s="16"/>
      <c r="J109" s="16"/>
      <c r="K109" s="16"/>
      <c r="L109" s="16"/>
      <c r="M109" s="15"/>
      <c r="N109" s="15"/>
      <c r="O109" s="16"/>
      <c r="P109" s="16"/>
      <c r="Q109" s="16"/>
      <c r="R109" s="16"/>
      <c r="S109" s="16"/>
      <c r="T109" s="16"/>
      <c r="U109" s="16"/>
      <c r="V109" s="16"/>
    </row>
    <row r="110" spans="1:22" ht="13.2" hidden="1">
      <c r="A110" s="12"/>
      <c r="B110" s="46"/>
      <c r="C110" s="12"/>
      <c r="D110" s="15"/>
      <c r="E110" s="15"/>
      <c r="F110" s="15"/>
      <c r="G110" s="16"/>
      <c r="H110" s="16"/>
      <c r="I110" s="16"/>
      <c r="J110" s="16"/>
      <c r="K110" s="16"/>
      <c r="L110" s="16"/>
      <c r="M110" s="15"/>
      <c r="N110" s="15"/>
      <c r="O110" s="16"/>
      <c r="P110" s="16"/>
      <c r="Q110" s="16"/>
      <c r="R110" s="16"/>
      <c r="S110" s="16"/>
      <c r="T110" s="16"/>
      <c r="U110" s="16"/>
      <c r="V110" s="16"/>
    </row>
    <row r="111" spans="1:22" ht="13.2" hidden="1">
      <c r="A111" s="12"/>
      <c r="B111" s="46"/>
      <c r="C111" s="12"/>
      <c r="D111" s="15"/>
      <c r="E111" s="15"/>
      <c r="F111" s="15"/>
      <c r="G111" s="16"/>
      <c r="H111" s="16"/>
      <c r="I111" s="16"/>
      <c r="J111" s="16"/>
      <c r="K111" s="16"/>
      <c r="L111" s="16"/>
      <c r="M111" s="15"/>
      <c r="N111" s="15"/>
      <c r="O111" s="16"/>
      <c r="P111" s="16"/>
      <c r="Q111" s="16"/>
      <c r="R111" s="16"/>
      <c r="S111" s="16"/>
      <c r="T111" s="16"/>
      <c r="U111" s="16"/>
      <c r="V111" s="16"/>
    </row>
    <row r="112" spans="1:22" ht="13.2" hidden="1">
      <c r="A112" s="12"/>
      <c r="B112" s="46"/>
      <c r="C112" s="12"/>
      <c r="D112" s="15"/>
      <c r="E112" s="15"/>
      <c r="F112" s="15"/>
      <c r="G112" s="16"/>
      <c r="H112" s="16"/>
      <c r="I112" s="16"/>
      <c r="J112" s="16"/>
      <c r="K112" s="16"/>
      <c r="L112" s="16"/>
      <c r="M112" s="15"/>
      <c r="N112" s="15"/>
      <c r="O112" s="16"/>
      <c r="P112" s="16"/>
      <c r="Q112" s="16"/>
      <c r="R112" s="16"/>
      <c r="S112" s="16"/>
      <c r="T112" s="16"/>
      <c r="U112" s="16"/>
      <c r="V112" s="16"/>
    </row>
    <row r="113" spans="1:22" ht="13.2" hidden="1">
      <c r="A113" s="12"/>
      <c r="B113" s="46"/>
      <c r="C113" s="12"/>
      <c r="D113" s="15"/>
      <c r="E113" s="15"/>
      <c r="F113" s="15"/>
      <c r="G113" s="16"/>
      <c r="H113" s="16"/>
      <c r="I113" s="16"/>
      <c r="J113" s="16"/>
      <c r="K113" s="16"/>
      <c r="L113" s="16"/>
      <c r="M113" s="15"/>
      <c r="N113" s="15"/>
      <c r="O113" s="16"/>
      <c r="P113" s="16"/>
      <c r="Q113" s="16"/>
      <c r="R113" s="16"/>
      <c r="S113" s="16"/>
      <c r="T113" s="16"/>
      <c r="U113" s="16"/>
      <c r="V113" s="16"/>
    </row>
    <row r="114" spans="1:22" ht="13.2" hidden="1">
      <c r="A114" s="12"/>
      <c r="B114" s="46"/>
      <c r="C114" s="12"/>
      <c r="D114" s="15"/>
      <c r="E114" s="15"/>
      <c r="F114" s="15"/>
      <c r="G114" s="16"/>
      <c r="H114" s="16"/>
      <c r="I114" s="16"/>
      <c r="J114" s="16"/>
      <c r="K114" s="16"/>
      <c r="L114" s="16"/>
      <c r="M114" s="15"/>
      <c r="N114" s="15"/>
      <c r="O114" s="16"/>
      <c r="P114" s="16"/>
      <c r="Q114" s="16"/>
      <c r="R114" s="16"/>
      <c r="S114" s="16"/>
      <c r="T114" s="16"/>
      <c r="U114" s="16"/>
      <c r="V114" s="16"/>
    </row>
    <row r="115" spans="1:22" ht="13.2" hidden="1">
      <c r="A115" s="12"/>
      <c r="B115" s="46"/>
      <c r="C115" s="12"/>
      <c r="D115" s="15"/>
      <c r="E115" s="15"/>
      <c r="F115" s="15"/>
      <c r="G115" s="16"/>
      <c r="H115" s="16"/>
      <c r="I115" s="16"/>
      <c r="J115" s="16"/>
      <c r="K115" s="16"/>
      <c r="L115" s="16"/>
      <c r="M115" s="15"/>
      <c r="N115" s="15"/>
      <c r="O115" s="16"/>
      <c r="P115" s="16"/>
      <c r="Q115" s="16"/>
      <c r="R115" s="16"/>
      <c r="S115" s="16"/>
      <c r="T115" s="16"/>
      <c r="U115" s="16"/>
      <c r="V115" s="16"/>
    </row>
    <row r="116" spans="1:22" ht="13.2" hidden="1">
      <c r="A116" s="12"/>
      <c r="B116" s="46"/>
      <c r="C116" s="12"/>
      <c r="D116" s="15"/>
      <c r="E116" s="15"/>
      <c r="F116" s="15"/>
      <c r="G116" s="16"/>
      <c r="H116" s="16"/>
      <c r="I116" s="16"/>
      <c r="J116" s="16"/>
      <c r="K116" s="16"/>
      <c r="L116" s="16"/>
      <c r="M116" s="15"/>
      <c r="N116" s="15"/>
      <c r="O116" s="16"/>
      <c r="P116" s="16"/>
      <c r="Q116" s="16"/>
      <c r="R116" s="16"/>
      <c r="S116" s="16"/>
      <c r="T116" s="16"/>
      <c r="U116" s="16"/>
      <c r="V116" s="16"/>
    </row>
    <row r="117" spans="1:22" ht="13.2" hidden="1">
      <c r="A117" s="12"/>
      <c r="B117" s="46"/>
      <c r="C117" s="12"/>
      <c r="D117" s="15"/>
      <c r="E117" s="15"/>
      <c r="F117" s="15"/>
      <c r="G117" s="16"/>
      <c r="H117" s="16"/>
      <c r="I117" s="16"/>
      <c r="J117" s="16"/>
      <c r="K117" s="16"/>
      <c r="L117" s="16"/>
      <c r="M117" s="15"/>
      <c r="N117" s="15"/>
      <c r="O117" s="16"/>
      <c r="P117" s="16"/>
      <c r="Q117" s="16"/>
      <c r="R117" s="16"/>
      <c r="S117" s="16"/>
      <c r="T117" s="16"/>
      <c r="U117" s="16"/>
      <c r="V117" s="16"/>
    </row>
    <row r="118" spans="1:22" ht="13.2" hidden="1">
      <c r="A118" s="12"/>
      <c r="B118" s="46"/>
      <c r="C118" s="12"/>
      <c r="D118" s="15"/>
      <c r="E118" s="15"/>
      <c r="F118" s="15"/>
      <c r="G118" s="16"/>
      <c r="H118" s="16"/>
      <c r="I118" s="16"/>
      <c r="J118" s="16"/>
      <c r="K118" s="16"/>
      <c r="L118" s="16"/>
      <c r="M118" s="15"/>
      <c r="N118" s="15"/>
      <c r="O118" s="16"/>
      <c r="P118" s="16"/>
      <c r="Q118" s="16"/>
      <c r="R118" s="16"/>
      <c r="S118" s="16"/>
      <c r="T118" s="16"/>
      <c r="U118" s="16"/>
      <c r="V118" s="16"/>
    </row>
    <row r="119" spans="1:22" ht="13.2" hidden="1">
      <c r="A119" s="12"/>
      <c r="B119" s="46"/>
      <c r="C119" s="12"/>
      <c r="D119" s="15"/>
      <c r="E119" s="15"/>
      <c r="F119" s="15"/>
      <c r="G119" s="16"/>
      <c r="H119" s="16"/>
      <c r="I119" s="16"/>
      <c r="J119" s="16"/>
      <c r="K119" s="16"/>
      <c r="L119" s="16"/>
      <c r="M119" s="15"/>
      <c r="N119" s="15"/>
      <c r="O119" s="16"/>
      <c r="P119" s="16"/>
      <c r="Q119" s="16"/>
      <c r="R119" s="16"/>
      <c r="S119" s="16"/>
      <c r="T119" s="16"/>
      <c r="U119" s="16"/>
      <c r="V119" s="16"/>
    </row>
    <row r="120" spans="1:22" ht="13.2" hidden="1">
      <c r="A120" s="12"/>
      <c r="B120" s="46"/>
      <c r="C120" s="12"/>
      <c r="D120" s="15"/>
      <c r="E120" s="15"/>
      <c r="F120" s="15"/>
      <c r="G120" s="16"/>
      <c r="H120" s="16"/>
      <c r="I120" s="16"/>
      <c r="J120" s="16"/>
      <c r="K120" s="16"/>
      <c r="L120" s="16"/>
      <c r="M120" s="15"/>
      <c r="N120" s="15"/>
      <c r="O120" s="16"/>
      <c r="P120" s="16"/>
      <c r="Q120" s="16"/>
      <c r="R120" s="16"/>
      <c r="S120" s="16"/>
      <c r="T120" s="16"/>
      <c r="U120" s="16"/>
      <c r="V120" s="16"/>
    </row>
    <row r="121" spans="1:22" ht="13.2" hidden="1">
      <c r="A121" s="12"/>
      <c r="B121" s="46"/>
      <c r="C121" s="12"/>
      <c r="D121" s="15"/>
      <c r="E121" s="15"/>
      <c r="F121" s="15"/>
      <c r="G121" s="16"/>
      <c r="H121" s="16"/>
      <c r="I121" s="16"/>
      <c r="J121" s="16"/>
      <c r="K121" s="16"/>
      <c r="L121" s="16"/>
      <c r="M121" s="15"/>
      <c r="N121" s="15"/>
      <c r="O121" s="16"/>
      <c r="P121" s="16"/>
      <c r="Q121" s="16"/>
      <c r="R121" s="16"/>
      <c r="S121" s="16"/>
      <c r="T121" s="16"/>
      <c r="U121" s="16"/>
      <c r="V121" s="16"/>
    </row>
    <row r="122" spans="1:22" ht="13.2" hidden="1">
      <c r="A122" s="12"/>
      <c r="B122" s="46"/>
      <c r="C122" s="12"/>
      <c r="D122" s="15"/>
      <c r="E122" s="15"/>
      <c r="F122" s="15"/>
      <c r="G122" s="16"/>
      <c r="H122" s="16"/>
      <c r="I122" s="16"/>
      <c r="J122" s="16"/>
      <c r="K122" s="16"/>
      <c r="L122" s="16"/>
      <c r="M122" s="15"/>
      <c r="N122" s="15"/>
      <c r="O122" s="16"/>
      <c r="P122" s="16"/>
      <c r="Q122" s="16"/>
      <c r="R122" s="16"/>
      <c r="S122" s="16"/>
      <c r="T122" s="16"/>
      <c r="U122" s="16"/>
      <c r="V122" s="16"/>
    </row>
    <row r="123" spans="1:22" ht="13.2" hidden="1">
      <c r="A123" s="12"/>
      <c r="B123" s="46"/>
      <c r="C123" s="12"/>
      <c r="D123" s="15"/>
      <c r="E123" s="15"/>
      <c r="F123" s="15"/>
      <c r="G123" s="16"/>
      <c r="H123" s="16"/>
      <c r="I123" s="16"/>
      <c r="J123" s="16"/>
      <c r="K123" s="16"/>
      <c r="L123" s="16"/>
      <c r="M123" s="15"/>
      <c r="N123" s="15"/>
      <c r="O123" s="16"/>
      <c r="P123" s="16"/>
      <c r="Q123" s="16"/>
      <c r="R123" s="16"/>
      <c r="S123" s="16"/>
      <c r="T123" s="16"/>
      <c r="U123" s="16"/>
      <c r="V123" s="16"/>
    </row>
    <row r="124" spans="1:22" ht="13.2" hidden="1">
      <c r="A124" s="12"/>
      <c r="B124" s="46"/>
      <c r="C124" s="12"/>
      <c r="D124" s="15"/>
      <c r="E124" s="15"/>
      <c r="F124" s="15"/>
      <c r="G124" s="16"/>
      <c r="H124" s="16"/>
      <c r="I124" s="16"/>
      <c r="J124" s="16"/>
      <c r="K124" s="16"/>
      <c r="L124" s="16"/>
      <c r="M124" s="15"/>
      <c r="N124" s="15"/>
      <c r="O124" s="16"/>
      <c r="P124" s="16"/>
      <c r="Q124" s="16"/>
      <c r="R124" s="16"/>
      <c r="S124" s="16"/>
      <c r="T124" s="16"/>
      <c r="U124" s="16"/>
      <c r="V124" s="16"/>
    </row>
    <row r="125" spans="1:22" ht="13.2" hidden="1">
      <c r="A125" s="12"/>
      <c r="B125" s="46"/>
      <c r="C125" s="12"/>
      <c r="D125" s="15"/>
      <c r="E125" s="15"/>
      <c r="F125" s="15"/>
      <c r="G125" s="16"/>
      <c r="H125" s="16"/>
      <c r="I125" s="16"/>
      <c r="J125" s="16"/>
      <c r="K125" s="16"/>
      <c r="L125" s="16"/>
      <c r="M125" s="15"/>
      <c r="N125" s="15"/>
      <c r="O125" s="16"/>
      <c r="P125" s="16"/>
      <c r="Q125" s="16"/>
      <c r="R125" s="16"/>
      <c r="S125" s="16"/>
      <c r="T125" s="16"/>
      <c r="U125" s="16"/>
      <c r="V125" s="16"/>
    </row>
    <row r="126" spans="1:22" ht="13.2" hidden="1">
      <c r="A126" s="12"/>
      <c r="B126" s="46"/>
      <c r="C126" s="12"/>
      <c r="D126" s="15"/>
      <c r="E126" s="15"/>
      <c r="F126" s="15"/>
      <c r="G126" s="16"/>
      <c r="H126" s="16"/>
      <c r="I126" s="16"/>
      <c r="J126" s="16"/>
      <c r="K126" s="16"/>
      <c r="L126" s="16"/>
      <c r="M126" s="15"/>
      <c r="N126" s="15"/>
      <c r="O126" s="16"/>
      <c r="P126" s="16"/>
      <c r="Q126" s="16"/>
      <c r="R126" s="16"/>
      <c r="S126" s="16"/>
      <c r="T126" s="16"/>
      <c r="U126" s="16"/>
      <c r="V126" s="16"/>
    </row>
    <row r="127" spans="1:22" ht="13.2" hidden="1">
      <c r="A127" s="12"/>
      <c r="B127" s="46"/>
      <c r="C127" s="12"/>
      <c r="D127" s="15"/>
      <c r="E127" s="15"/>
      <c r="F127" s="15"/>
      <c r="G127" s="16"/>
      <c r="H127" s="16"/>
      <c r="I127" s="16"/>
      <c r="J127" s="16"/>
      <c r="K127" s="16"/>
      <c r="L127" s="16"/>
      <c r="M127" s="15"/>
      <c r="N127" s="15"/>
      <c r="O127" s="16"/>
      <c r="P127" s="16"/>
      <c r="Q127" s="16"/>
      <c r="R127" s="16"/>
      <c r="S127" s="16"/>
      <c r="T127" s="16"/>
      <c r="U127" s="16"/>
      <c r="V127" s="16"/>
    </row>
    <row r="128" spans="1:22" ht="13.2" hidden="1">
      <c r="A128" s="12"/>
      <c r="B128" s="46"/>
      <c r="C128" s="12"/>
      <c r="D128" s="15"/>
      <c r="E128" s="15"/>
      <c r="F128" s="15"/>
      <c r="G128" s="16"/>
      <c r="H128" s="16"/>
      <c r="I128" s="16"/>
      <c r="J128" s="16"/>
      <c r="K128" s="16"/>
      <c r="L128" s="16"/>
      <c r="M128" s="15"/>
      <c r="N128" s="15"/>
      <c r="O128" s="16"/>
      <c r="P128" s="16"/>
      <c r="Q128" s="16"/>
      <c r="R128" s="16"/>
      <c r="S128" s="16"/>
      <c r="T128" s="16"/>
      <c r="U128" s="16"/>
      <c r="V128" s="16"/>
    </row>
    <row r="129" spans="1:22" ht="13.2" hidden="1">
      <c r="A129" s="12"/>
      <c r="B129" s="46"/>
      <c r="C129" s="12"/>
      <c r="D129" s="15"/>
      <c r="E129" s="15"/>
      <c r="F129" s="15"/>
      <c r="G129" s="16"/>
      <c r="H129" s="16"/>
      <c r="I129" s="16"/>
      <c r="J129" s="16"/>
      <c r="K129" s="16"/>
      <c r="L129" s="16"/>
      <c r="M129" s="15"/>
      <c r="N129" s="15"/>
      <c r="O129" s="16"/>
      <c r="P129" s="16"/>
      <c r="Q129" s="16"/>
      <c r="R129" s="16"/>
      <c r="S129" s="16"/>
      <c r="T129" s="16"/>
      <c r="U129" s="16"/>
      <c r="V129" s="16"/>
    </row>
    <row r="130" spans="1:22" ht="13.2" hidden="1">
      <c r="A130" s="12"/>
      <c r="B130" s="46"/>
      <c r="C130" s="12"/>
      <c r="D130" s="15"/>
      <c r="E130" s="15"/>
      <c r="F130" s="15"/>
      <c r="G130" s="16"/>
      <c r="H130" s="16"/>
      <c r="I130" s="16"/>
      <c r="J130" s="16"/>
      <c r="K130" s="16"/>
      <c r="L130" s="16"/>
      <c r="M130" s="15"/>
      <c r="N130" s="15"/>
      <c r="O130" s="16"/>
      <c r="P130" s="16"/>
      <c r="Q130" s="16"/>
      <c r="R130" s="16"/>
      <c r="S130" s="16"/>
      <c r="T130" s="16"/>
      <c r="U130" s="16"/>
      <c r="V130" s="16"/>
    </row>
    <row r="131" spans="1:22" ht="13.2" hidden="1">
      <c r="A131" s="12"/>
      <c r="B131" s="46"/>
      <c r="C131" s="12"/>
      <c r="D131" s="15"/>
      <c r="E131" s="15"/>
      <c r="F131" s="15"/>
      <c r="G131" s="16"/>
      <c r="H131" s="16"/>
      <c r="I131" s="16"/>
      <c r="J131" s="16"/>
      <c r="K131" s="16"/>
      <c r="L131" s="16"/>
      <c r="M131" s="15"/>
      <c r="N131" s="15"/>
      <c r="O131" s="16"/>
      <c r="P131" s="16"/>
      <c r="Q131" s="16"/>
      <c r="R131" s="16"/>
      <c r="S131" s="16"/>
      <c r="T131" s="16"/>
      <c r="U131" s="16"/>
      <c r="V131" s="16"/>
    </row>
    <row r="132" spans="1:22" ht="13.2" hidden="1">
      <c r="A132" s="12"/>
      <c r="B132" s="46"/>
      <c r="C132" s="12"/>
      <c r="D132" s="15"/>
      <c r="E132" s="15"/>
      <c r="F132" s="15"/>
      <c r="G132" s="16"/>
      <c r="H132" s="16"/>
      <c r="I132" s="16"/>
      <c r="J132" s="16"/>
      <c r="K132" s="16"/>
      <c r="L132" s="16"/>
      <c r="M132" s="15"/>
      <c r="N132" s="15"/>
      <c r="O132" s="16"/>
      <c r="P132" s="16"/>
      <c r="Q132" s="16"/>
      <c r="R132" s="16"/>
      <c r="S132" s="16"/>
      <c r="T132" s="16"/>
      <c r="U132" s="16"/>
      <c r="V132" s="16"/>
    </row>
    <row r="133" spans="1:22" ht="13.2" hidden="1">
      <c r="A133" s="12"/>
      <c r="B133" s="46"/>
      <c r="C133" s="12"/>
      <c r="D133" s="15"/>
      <c r="E133" s="15"/>
      <c r="F133" s="15"/>
      <c r="G133" s="16"/>
      <c r="H133" s="16"/>
      <c r="I133" s="16"/>
      <c r="J133" s="16"/>
      <c r="K133" s="16"/>
      <c r="L133" s="16"/>
      <c r="M133" s="15"/>
      <c r="N133" s="15"/>
      <c r="O133" s="16"/>
      <c r="P133" s="16"/>
      <c r="Q133" s="16"/>
      <c r="R133" s="16"/>
      <c r="S133" s="16"/>
      <c r="T133" s="16"/>
      <c r="U133" s="16"/>
      <c r="V133" s="16"/>
    </row>
    <row r="134" spans="1:22" ht="13.2" hidden="1">
      <c r="A134" s="12"/>
      <c r="B134" s="46"/>
      <c r="C134" s="12"/>
      <c r="D134" s="15"/>
      <c r="E134" s="15"/>
      <c r="F134" s="15"/>
      <c r="G134" s="16"/>
      <c r="H134" s="16"/>
      <c r="I134" s="16"/>
      <c r="J134" s="16"/>
      <c r="K134" s="16"/>
      <c r="L134" s="16"/>
      <c r="M134" s="15"/>
      <c r="N134" s="15"/>
      <c r="O134" s="16"/>
      <c r="P134" s="16"/>
      <c r="Q134" s="16"/>
      <c r="R134" s="16"/>
      <c r="S134" s="16"/>
      <c r="T134" s="16"/>
      <c r="U134" s="16"/>
      <c r="V134" s="16"/>
    </row>
    <row r="135" spans="1:22" ht="13.2" hidden="1">
      <c r="A135" s="12"/>
      <c r="B135" s="46"/>
      <c r="C135" s="12"/>
      <c r="D135" s="15"/>
      <c r="E135" s="15"/>
      <c r="F135" s="15"/>
      <c r="G135" s="16"/>
      <c r="H135" s="16"/>
      <c r="I135" s="16"/>
      <c r="J135" s="16"/>
      <c r="K135" s="16"/>
      <c r="L135" s="16"/>
      <c r="M135" s="15"/>
      <c r="N135" s="15"/>
      <c r="O135" s="16"/>
      <c r="P135" s="16"/>
      <c r="Q135" s="16"/>
      <c r="R135" s="16"/>
      <c r="S135" s="16"/>
      <c r="T135" s="16"/>
      <c r="U135" s="16"/>
      <c r="V135" s="16"/>
    </row>
    <row r="136" spans="1:22" ht="13.2" hidden="1">
      <c r="A136" s="12"/>
      <c r="B136" s="46"/>
      <c r="C136" s="12"/>
      <c r="D136" s="15"/>
      <c r="E136" s="15"/>
      <c r="F136" s="15"/>
      <c r="G136" s="16"/>
      <c r="H136" s="16"/>
      <c r="I136" s="16"/>
      <c r="J136" s="16"/>
      <c r="K136" s="16"/>
      <c r="L136" s="16"/>
      <c r="M136" s="15"/>
      <c r="N136" s="15"/>
      <c r="O136" s="16"/>
      <c r="P136" s="16"/>
      <c r="Q136" s="16"/>
      <c r="R136" s="16"/>
      <c r="S136" s="16"/>
      <c r="T136" s="16"/>
      <c r="U136" s="16"/>
      <c r="V136" s="16"/>
    </row>
    <row r="137" spans="1:22" ht="13.2" hidden="1">
      <c r="A137" s="12"/>
      <c r="B137" s="46"/>
      <c r="C137" s="12"/>
      <c r="D137" s="15"/>
      <c r="E137" s="15"/>
      <c r="F137" s="15"/>
      <c r="G137" s="16"/>
      <c r="H137" s="16"/>
      <c r="I137" s="16"/>
      <c r="J137" s="16"/>
      <c r="K137" s="16"/>
      <c r="L137" s="16"/>
      <c r="M137" s="15"/>
      <c r="N137" s="15"/>
      <c r="O137" s="16"/>
      <c r="P137" s="16"/>
      <c r="Q137" s="16"/>
      <c r="R137" s="16"/>
      <c r="S137" s="16"/>
      <c r="T137" s="16"/>
      <c r="U137" s="16"/>
      <c r="V137" s="16"/>
    </row>
    <row r="138" spans="1:22" ht="13.2" hidden="1">
      <c r="A138" s="12"/>
      <c r="B138" s="46"/>
      <c r="C138" s="12"/>
      <c r="D138" s="15"/>
      <c r="E138" s="15"/>
      <c r="F138" s="15"/>
      <c r="G138" s="16"/>
      <c r="H138" s="16"/>
      <c r="I138" s="16"/>
      <c r="J138" s="16"/>
      <c r="K138" s="16"/>
      <c r="L138" s="16"/>
      <c r="M138" s="15"/>
      <c r="N138" s="15"/>
      <c r="O138" s="16"/>
      <c r="P138" s="16"/>
      <c r="Q138" s="16"/>
      <c r="R138" s="16"/>
      <c r="S138" s="16"/>
      <c r="T138" s="16"/>
      <c r="U138" s="16"/>
      <c r="V138" s="16"/>
    </row>
    <row r="139" spans="1:22" ht="13.2" hidden="1">
      <c r="A139" s="12"/>
      <c r="B139" s="46"/>
      <c r="C139" s="12"/>
      <c r="D139" s="15"/>
      <c r="E139" s="15"/>
      <c r="F139" s="15"/>
      <c r="G139" s="16"/>
      <c r="H139" s="16"/>
      <c r="I139" s="16"/>
      <c r="J139" s="16"/>
      <c r="K139" s="16"/>
      <c r="L139" s="16"/>
      <c r="M139" s="15"/>
      <c r="N139" s="15"/>
      <c r="O139" s="16"/>
      <c r="P139" s="16"/>
      <c r="Q139" s="16"/>
      <c r="R139" s="16"/>
      <c r="S139" s="16"/>
      <c r="T139" s="16"/>
      <c r="U139" s="16"/>
      <c r="V139" s="16"/>
    </row>
    <row r="140" spans="1:22" ht="13.2" hidden="1">
      <c r="A140" s="12"/>
      <c r="B140" s="46"/>
      <c r="C140" s="12"/>
      <c r="D140" s="15"/>
      <c r="E140" s="15"/>
      <c r="F140" s="15"/>
      <c r="G140" s="16"/>
      <c r="H140" s="16"/>
      <c r="I140" s="16"/>
      <c r="J140" s="16"/>
      <c r="K140" s="16"/>
      <c r="L140" s="16"/>
      <c r="M140" s="15"/>
      <c r="N140" s="15"/>
      <c r="O140" s="16"/>
      <c r="P140" s="16"/>
      <c r="Q140" s="16"/>
      <c r="R140" s="16"/>
      <c r="S140" s="16"/>
      <c r="T140" s="16"/>
      <c r="U140" s="16"/>
      <c r="V140" s="16"/>
    </row>
    <row r="141" spans="1:22" ht="13.2" hidden="1">
      <c r="A141" s="12"/>
      <c r="B141" s="46"/>
      <c r="C141" s="12"/>
      <c r="D141" s="15"/>
      <c r="E141" s="15"/>
      <c r="F141" s="15"/>
      <c r="G141" s="16"/>
      <c r="H141" s="16"/>
      <c r="I141" s="16"/>
      <c r="J141" s="16"/>
      <c r="K141" s="16"/>
      <c r="L141" s="16"/>
      <c r="M141" s="15"/>
      <c r="N141" s="15"/>
      <c r="O141" s="16"/>
      <c r="P141" s="16"/>
      <c r="Q141" s="16"/>
      <c r="R141" s="16"/>
      <c r="S141" s="16"/>
      <c r="T141" s="16"/>
      <c r="U141" s="16"/>
      <c r="V141" s="16"/>
    </row>
    <row r="142" spans="1:22" ht="13.2" hidden="1">
      <c r="A142" s="12"/>
      <c r="B142" s="46"/>
      <c r="C142" s="12"/>
      <c r="D142" s="15"/>
      <c r="E142" s="15"/>
      <c r="F142" s="15"/>
      <c r="G142" s="16"/>
      <c r="H142" s="16"/>
      <c r="I142" s="16"/>
      <c r="J142" s="16"/>
      <c r="K142" s="16"/>
      <c r="L142" s="16"/>
      <c r="M142" s="15"/>
      <c r="N142" s="15"/>
      <c r="O142" s="16"/>
      <c r="P142" s="16"/>
      <c r="Q142" s="16"/>
      <c r="R142" s="16"/>
      <c r="S142" s="16"/>
      <c r="T142" s="16"/>
      <c r="U142" s="16"/>
      <c r="V142" s="16"/>
    </row>
    <row r="143" spans="1:22" ht="13.2" hidden="1">
      <c r="A143" s="12"/>
      <c r="B143" s="46"/>
      <c r="C143" s="12"/>
      <c r="D143" s="15"/>
      <c r="E143" s="15"/>
      <c r="F143" s="15"/>
      <c r="G143" s="16"/>
      <c r="H143" s="16"/>
      <c r="I143" s="16"/>
      <c r="J143" s="16"/>
      <c r="K143" s="16"/>
      <c r="L143" s="16"/>
      <c r="M143" s="15"/>
      <c r="N143" s="15"/>
      <c r="O143" s="16"/>
      <c r="P143" s="16"/>
      <c r="Q143" s="16"/>
      <c r="R143" s="16"/>
      <c r="S143" s="16"/>
      <c r="T143" s="16"/>
      <c r="U143" s="16"/>
      <c r="V143" s="16"/>
    </row>
    <row r="144" spans="1:22" ht="13.2" hidden="1">
      <c r="A144" s="12"/>
      <c r="B144" s="46"/>
      <c r="C144" s="12"/>
      <c r="D144" s="15"/>
      <c r="E144" s="15"/>
      <c r="F144" s="15"/>
      <c r="G144" s="16"/>
      <c r="H144" s="16"/>
      <c r="I144" s="16"/>
      <c r="J144" s="16"/>
      <c r="K144" s="16"/>
      <c r="L144" s="16"/>
      <c r="M144" s="15"/>
      <c r="N144" s="15"/>
      <c r="O144" s="16"/>
      <c r="P144" s="16"/>
      <c r="Q144" s="16"/>
      <c r="R144" s="16"/>
      <c r="S144" s="16"/>
      <c r="T144" s="16"/>
      <c r="U144" s="16"/>
      <c r="V144" s="16"/>
    </row>
    <row r="145" spans="1:22" ht="13.2" hidden="1">
      <c r="A145" s="12"/>
      <c r="B145" s="46"/>
      <c r="C145" s="12"/>
      <c r="D145" s="15"/>
      <c r="E145" s="15"/>
      <c r="F145" s="15"/>
      <c r="G145" s="16"/>
      <c r="H145" s="16"/>
      <c r="I145" s="16"/>
      <c r="J145" s="16"/>
      <c r="K145" s="16"/>
      <c r="L145" s="16"/>
      <c r="M145" s="15"/>
      <c r="N145" s="15"/>
      <c r="O145" s="16"/>
      <c r="P145" s="16"/>
      <c r="Q145" s="16"/>
      <c r="R145" s="16"/>
      <c r="S145" s="16"/>
      <c r="T145" s="16"/>
      <c r="U145" s="16"/>
      <c r="V145" s="16"/>
    </row>
    <row r="146" spans="1:22" ht="13.2" hidden="1">
      <c r="A146" s="12"/>
      <c r="B146" s="46"/>
      <c r="C146" s="12"/>
      <c r="D146" s="15"/>
      <c r="E146" s="15"/>
      <c r="F146" s="15"/>
      <c r="G146" s="16"/>
      <c r="H146" s="16"/>
      <c r="I146" s="16"/>
      <c r="J146" s="16"/>
      <c r="K146" s="16"/>
      <c r="L146" s="16"/>
      <c r="M146" s="15"/>
      <c r="N146" s="15"/>
      <c r="O146" s="16"/>
      <c r="P146" s="16"/>
      <c r="Q146" s="16"/>
      <c r="R146" s="16"/>
      <c r="S146" s="16"/>
      <c r="T146" s="16"/>
      <c r="U146" s="16"/>
      <c r="V146" s="16"/>
    </row>
    <row r="147" spans="1:22" ht="13.2" hidden="1">
      <c r="A147" s="12"/>
      <c r="B147" s="46"/>
      <c r="C147" s="12"/>
      <c r="D147" s="15"/>
      <c r="E147" s="15"/>
      <c r="F147" s="15"/>
      <c r="G147" s="16"/>
      <c r="H147" s="16"/>
      <c r="I147" s="16"/>
      <c r="J147" s="16"/>
      <c r="K147" s="16"/>
      <c r="L147" s="16"/>
      <c r="M147" s="15"/>
      <c r="N147" s="15"/>
      <c r="O147" s="16"/>
      <c r="P147" s="16"/>
      <c r="Q147" s="16"/>
      <c r="R147" s="16"/>
      <c r="S147" s="16"/>
      <c r="T147" s="16"/>
      <c r="U147" s="16"/>
      <c r="V147" s="16"/>
    </row>
    <row r="148" spans="1:22" ht="13.2" hidden="1">
      <c r="A148" s="12"/>
      <c r="B148" s="46"/>
      <c r="C148" s="12"/>
      <c r="D148" s="15"/>
      <c r="E148" s="15"/>
      <c r="F148" s="15"/>
      <c r="G148" s="16"/>
      <c r="H148" s="16"/>
      <c r="I148" s="16"/>
      <c r="J148" s="16"/>
      <c r="K148" s="16"/>
      <c r="L148" s="16"/>
      <c r="M148" s="15"/>
      <c r="N148" s="15"/>
      <c r="O148" s="16"/>
      <c r="P148" s="16"/>
      <c r="Q148" s="16"/>
      <c r="R148" s="16"/>
      <c r="S148" s="16"/>
      <c r="T148" s="16"/>
      <c r="U148" s="16"/>
      <c r="V148" s="16"/>
    </row>
    <row r="149" spans="1:22" ht="13.2" hidden="1">
      <c r="A149" s="12"/>
      <c r="B149" s="46"/>
      <c r="C149" s="12"/>
      <c r="D149" s="15"/>
      <c r="E149" s="15"/>
      <c r="F149" s="15"/>
      <c r="G149" s="16"/>
      <c r="H149" s="16"/>
      <c r="I149" s="16"/>
      <c r="J149" s="16"/>
      <c r="K149" s="16"/>
      <c r="L149" s="16"/>
      <c r="M149" s="15"/>
      <c r="N149" s="15"/>
      <c r="O149" s="16"/>
      <c r="P149" s="16"/>
      <c r="Q149" s="16"/>
      <c r="R149" s="16"/>
      <c r="S149" s="16"/>
      <c r="T149" s="16"/>
      <c r="U149" s="16"/>
      <c r="V149" s="16"/>
    </row>
    <row r="150" spans="1:22" ht="13.2" hidden="1">
      <c r="A150" s="12"/>
      <c r="B150" s="46"/>
      <c r="C150" s="12"/>
      <c r="D150" s="15"/>
      <c r="E150" s="15"/>
      <c r="F150" s="15"/>
      <c r="G150" s="16"/>
      <c r="H150" s="16"/>
      <c r="I150" s="16"/>
      <c r="J150" s="16"/>
      <c r="K150" s="16"/>
      <c r="L150" s="16"/>
      <c r="M150" s="15"/>
      <c r="N150" s="15"/>
      <c r="O150" s="16"/>
      <c r="P150" s="16"/>
      <c r="Q150" s="16"/>
      <c r="R150" s="16"/>
      <c r="S150" s="16"/>
      <c r="T150" s="16"/>
      <c r="U150" s="16"/>
      <c r="V150" s="16"/>
    </row>
    <row r="151" spans="1:22" ht="13.2" hidden="1">
      <c r="A151" s="12"/>
      <c r="B151" s="46"/>
      <c r="C151" s="12"/>
      <c r="D151" s="15"/>
      <c r="E151" s="15"/>
      <c r="F151" s="15"/>
      <c r="G151" s="16"/>
      <c r="H151" s="16"/>
      <c r="I151" s="16"/>
      <c r="J151" s="16"/>
      <c r="K151" s="16"/>
      <c r="L151" s="16"/>
      <c r="M151" s="15"/>
      <c r="N151" s="15"/>
      <c r="O151" s="16"/>
      <c r="P151" s="16"/>
      <c r="Q151" s="16"/>
      <c r="R151" s="16"/>
      <c r="S151" s="16"/>
      <c r="T151" s="16"/>
      <c r="U151" s="16"/>
      <c r="V151" s="16"/>
    </row>
    <row r="152" spans="1:22" ht="13.2" hidden="1">
      <c r="A152" s="12"/>
      <c r="B152" s="46"/>
      <c r="C152" s="12"/>
      <c r="D152" s="15"/>
      <c r="E152" s="15"/>
      <c r="F152" s="15"/>
      <c r="G152" s="16"/>
      <c r="H152" s="16"/>
      <c r="I152" s="16"/>
      <c r="J152" s="16"/>
      <c r="K152" s="16"/>
      <c r="L152" s="16"/>
      <c r="M152" s="15"/>
      <c r="N152" s="15"/>
      <c r="O152" s="16"/>
      <c r="P152" s="16"/>
      <c r="Q152" s="16"/>
      <c r="R152" s="16"/>
      <c r="S152" s="16"/>
      <c r="T152" s="16"/>
      <c r="U152" s="16"/>
      <c r="V152" s="16"/>
    </row>
    <row r="153" spans="1:22" ht="13.2" hidden="1">
      <c r="A153" s="12"/>
      <c r="B153" s="46"/>
      <c r="C153" s="12"/>
      <c r="D153" s="15"/>
      <c r="E153" s="15"/>
      <c r="F153" s="15"/>
      <c r="G153" s="16"/>
      <c r="H153" s="16"/>
      <c r="I153" s="16"/>
      <c r="J153" s="16"/>
      <c r="K153" s="16"/>
      <c r="L153" s="16"/>
      <c r="M153" s="15"/>
      <c r="N153" s="15"/>
      <c r="O153" s="16"/>
      <c r="P153" s="16"/>
      <c r="Q153" s="16"/>
      <c r="R153" s="16"/>
      <c r="S153" s="16"/>
      <c r="T153" s="16"/>
      <c r="U153" s="16"/>
      <c r="V153" s="16"/>
    </row>
    <row r="154" spans="1:22" ht="13.2" hidden="1">
      <c r="A154" s="12"/>
      <c r="B154" s="46"/>
      <c r="C154" s="12"/>
      <c r="D154" s="15"/>
      <c r="E154" s="15"/>
      <c r="F154" s="15"/>
      <c r="G154" s="16"/>
      <c r="H154" s="16"/>
      <c r="I154" s="16"/>
      <c r="J154" s="16"/>
      <c r="K154" s="16"/>
      <c r="L154" s="16"/>
      <c r="M154" s="15"/>
      <c r="N154" s="15"/>
      <c r="O154" s="16"/>
      <c r="P154" s="16"/>
      <c r="Q154" s="16"/>
      <c r="R154" s="16"/>
      <c r="S154" s="16"/>
      <c r="T154" s="16"/>
      <c r="U154" s="16"/>
      <c r="V154" s="16"/>
    </row>
    <row r="155" spans="1:22" ht="13.2" hidden="1">
      <c r="A155" s="12"/>
      <c r="B155" s="46"/>
      <c r="C155" s="12"/>
      <c r="D155" s="15"/>
      <c r="E155" s="15"/>
      <c r="F155" s="15"/>
      <c r="G155" s="16"/>
      <c r="H155" s="16"/>
      <c r="I155" s="16"/>
      <c r="J155" s="16"/>
      <c r="K155" s="16"/>
      <c r="L155" s="16"/>
      <c r="M155" s="15"/>
      <c r="N155" s="15"/>
      <c r="O155" s="16"/>
      <c r="P155" s="16"/>
      <c r="Q155" s="16"/>
      <c r="R155" s="16"/>
      <c r="S155" s="16"/>
      <c r="T155" s="16"/>
      <c r="U155" s="16"/>
      <c r="V155" s="16"/>
    </row>
    <row r="156" spans="1:22" ht="13.2" hidden="1">
      <c r="A156" s="12"/>
      <c r="B156" s="46"/>
      <c r="C156" s="12"/>
      <c r="D156" s="15"/>
      <c r="E156" s="15"/>
      <c r="F156" s="15"/>
      <c r="G156" s="16"/>
      <c r="H156" s="16"/>
      <c r="I156" s="16"/>
      <c r="J156" s="16"/>
      <c r="K156" s="16"/>
      <c r="L156" s="16"/>
      <c r="M156" s="15"/>
      <c r="N156" s="15"/>
      <c r="O156" s="16"/>
      <c r="P156" s="16"/>
      <c r="Q156" s="16"/>
      <c r="R156" s="16"/>
      <c r="S156" s="16"/>
      <c r="T156" s="16"/>
      <c r="U156" s="16"/>
      <c r="V156" s="16"/>
    </row>
    <row r="157" spans="1:22" ht="13.2" hidden="1">
      <c r="A157" s="12"/>
      <c r="B157" s="46"/>
      <c r="C157" s="12"/>
      <c r="D157" s="15"/>
      <c r="E157" s="15"/>
      <c r="F157" s="15"/>
      <c r="G157" s="16"/>
      <c r="H157" s="16"/>
      <c r="I157" s="16"/>
      <c r="J157" s="16"/>
      <c r="K157" s="16"/>
      <c r="L157" s="16"/>
      <c r="M157" s="15"/>
      <c r="N157" s="15"/>
      <c r="O157" s="16"/>
      <c r="P157" s="16"/>
      <c r="Q157" s="16"/>
      <c r="R157" s="16"/>
      <c r="S157" s="16"/>
      <c r="T157" s="16"/>
      <c r="U157" s="16"/>
      <c r="V157" s="16"/>
    </row>
    <row r="158" spans="1:22" ht="13.2" hidden="1">
      <c r="A158" s="12"/>
      <c r="B158" s="46"/>
      <c r="C158" s="12"/>
      <c r="D158" s="15"/>
      <c r="E158" s="15"/>
      <c r="F158" s="15"/>
      <c r="G158" s="16"/>
      <c r="H158" s="16"/>
      <c r="I158" s="16"/>
      <c r="J158" s="16"/>
      <c r="K158" s="16"/>
      <c r="L158" s="16"/>
      <c r="M158" s="15"/>
      <c r="N158" s="15"/>
      <c r="O158" s="16"/>
      <c r="P158" s="16"/>
      <c r="Q158" s="16"/>
      <c r="R158" s="16"/>
      <c r="S158" s="16"/>
      <c r="T158" s="16"/>
      <c r="U158" s="16"/>
      <c r="V158" s="16"/>
    </row>
    <row r="159" spans="1:22" ht="13.2" hidden="1">
      <c r="A159" s="12"/>
      <c r="B159" s="46"/>
      <c r="C159" s="12"/>
      <c r="D159" s="15"/>
      <c r="E159" s="15"/>
      <c r="F159" s="15"/>
      <c r="G159" s="16"/>
      <c r="H159" s="16"/>
      <c r="I159" s="16"/>
      <c r="J159" s="16"/>
      <c r="K159" s="16"/>
      <c r="L159" s="16"/>
      <c r="M159" s="15"/>
      <c r="N159" s="15"/>
      <c r="O159" s="16"/>
      <c r="P159" s="16"/>
      <c r="Q159" s="16"/>
      <c r="R159" s="16"/>
      <c r="S159" s="16"/>
      <c r="T159" s="16"/>
      <c r="U159" s="16"/>
      <c r="V159" s="16"/>
    </row>
    <row r="160" spans="1:22" ht="13.2" hidden="1">
      <c r="A160" s="12"/>
      <c r="B160" s="46"/>
      <c r="C160" s="12"/>
      <c r="D160" s="15"/>
      <c r="E160" s="15"/>
      <c r="F160" s="15"/>
      <c r="G160" s="16"/>
      <c r="H160" s="16"/>
      <c r="I160" s="16"/>
      <c r="J160" s="16"/>
      <c r="K160" s="16"/>
      <c r="L160" s="16"/>
      <c r="M160" s="15"/>
      <c r="N160" s="15"/>
      <c r="O160" s="16"/>
      <c r="P160" s="16"/>
      <c r="Q160" s="16"/>
      <c r="R160" s="16"/>
      <c r="S160" s="16"/>
      <c r="T160" s="16"/>
      <c r="U160" s="16"/>
      <c r="V160" s="16"/>
    </row>
    <row r="161" spans="1:22" ht="13.2" hidden="1">
      <c r="A161" s="12"/>
      <c r="B161" s="46"/>
      <c r="C161" s="12"/>
      <c r="D161" s="15"/>
      <c r="E161" s="15"/>
      <c r="F161" s="15"/>
      <c r="G161" s="16"/>
      <c r="H161" s="16"/>
      <c r="I161" s="16"/>
      <c r="J161" s="16"/>
      <c r="K161" s="16"/>
      <c r="L161" s="16"/>
      <c r="M161" s="15"/>
      <c r="N161" s="15"/>
      <c r="O161" s="16"/>
      <c r="P161" s="16"/>
      <c r="Q161" s="16"/>
      <c r="R161" s="16"/>
      <c r="S161" s="16"/>
      <c r="T161" s="16"/>
      <c r="U161" s="16"/>
      <c r="V161" s="16"/>
    </row>
    <row r="162" spans="1:22" ht="13.2" hidden="1">
      <c r="A162" s="12"/>
      <c r="B162" s="46"/>
      <c r="C162" s="12"/>
      <c r="D162" s="15"/>
      <c r="E162" s="15"/>
      <c r="F162" s="15"/>
      <c r="G162" s="16"/>
      <c r="H162" s="16"/>
      <c r="I162" s="16"/>
      <c r="J162" s="16"/>
      <c r="K162" s="16"/>
      <c r="L162" s="16"/>
      <c r="M162" s="15"/>
      <c r="N162" s="15"/>
      <c r="O162" s="16"/>
      <c r="P162" s="16"/>
      <c r="Q162" s="16"/>
      <c r="R162" s="16"/>
      <c r="S162" s="16"/>
      <c r="T162" s="16"/>
      <c r="U162" s="16"/>
      <c r="V162" s="16"/>
    </row>
    <row r="163" spans="1:22" ht="13.2" hidden="1">
      <c r="A163" s="12"/>
      <c r="B163" s="46"/>
      <c r="C163" s="12"/>
      <c r="D163" s="15"/>
      <c r="E163" s="15"/>
      <c r="F163" s="15"/>
      <c r="G163" s="16"/>
      <c r="H163" s="16"/>
      <c r="I163" s="16"/>
      <c r="J163" s="16"/>
      <c r="K163" s="16"/>
      <c r="L163" s="16"/>
      <c r="M163" s="15"/>
      <c r="N163" s="15"/>
      <c r="O163" s="16"/>
      <c r="P163" s="16"/>
      <c r="Q163" s="16"/>
      <c r="R163" s="16"/>
      <c r="S163" s="16"/>
      <c r="T163" s="16"/>
      <c r="U163" s="16"/>
      <c r="V163" s="16"/>
    </row>
    <row r="164" spans="1:22" ht="13.2" hidden="1">
      <c r="A164" s="12"/>
      <c r="B164" s="46"/>
      <c r="C164" s="12"/>
      <c r="D164" s="15"/>
      <c r="E164" s="15"/>
      <c r="F164" s="15"/>
      <c r="G164" s="16"/>
      <c r="H164" s="16"/>
      <c r="I164" s="16"/>
      <c r="J164" s="16"/>
      <c r="K164" s="16"/>
      <c r="L164" s="16"/>
      <c r="M164" s="15"/>
      <c r="N164" s="15"/>
      <c r="O164" s="16"/>
      <c r="P164" s="16"/>
      <c r="Q164" s="16"/>
      <c r="R164" s="16"/>
      <c r="S164" s="16"/>
      <c r="T164" s="16"/>
      <c r="U164" s="16"/>
      <c r="V164" s="16"/>
    </row>
    <row r="165" spans="1:22" ht="13.2" hidden="1">
      <c r="A165" s="12"/>
      <c r="B165" s="46"/>
      <c r="C165" s="12"/>
      <c r="D165" s="15"/>
      <c r="E165" s="15"/>
      <c r="F165" s="15"/>
      <c r="G165" s="16"/>
      <c r="H165" s="16"/>
      <c r="I165" s="16"/>
      <c r="J165" s="16"/>
      <c r="K165" s="16"/>
      <c r="L165" s="16"/>
      <c r="M165" s="15"/>
      <c r="N165" s="15"/>
      <c r="O165" s="16"/>
      <c r="P165" s="16"/>
      <c r="Q165" s="16"/>
      <c r="R165" s="16"/>
      <c r="S165" s="16"/>
      <c r="T165" s="16"/>
      <c r="U165" s="16"/>
      <c r="V165" s="16"/>
    </row>
    <row r="166" spans="1:22" ht="13.2" hidden="1">
      <c r="A166" s="12"/>
      <c r="B166" s="46"/>
      <c r="C166" s="12"/>
      <c r="D166" s="15"/>
      <c r="E166" s="15"/>
      <c r="F166" s="15"/>
      <c r="G166" s="16"/>
      <c r="H166" s="16"/>
      <c r="I166" s="16"/>
      <c r="J166" s="16"/>
      <c r="K166" s="16"/>
      <c r="L166" s="16"/>
      <c r="M166" s="15"/>
      <c r="N166" s="15"/>
      <c r="O166" s="16"/>
      <c r="P166" s="16"/>
      <c r="Q166" s="16"/>
      <c r="R166" s="16"/>
      <c r="S166" s="16"/>
      <c r="T166" s="16"/>
      <c r="U166" s="16"/>
      <c r="V166" s="16"/>
    </row>
    <row r="167" spans="1:22" ht="13.2" hidden="1">
      <c r="A167" s="12"/>
      <c r="B167" s="46"/>
      <c r="C167" s="12"/>
      <c r="D167" s="15"/>
      <c r="E167" s="15"/>
      <c r="F167" s="15"/>
      <c r="G167" s="16"/>
      <c r="H167" s="16"/>
      <c r="I167" s="16"/>
      <c r="J167" s="16"/>
      <c r="K167" s="16"/>
      <c r="L167" s="16"/>
      <c r="M167" s="15"/>
      <c r="N167" s="15"/>
      <c r="O167" s="16"/>
      <c r="P167" s="16"/>
      <c r="Q167" s="16"/>
      <c r="R167" s="16"/>
      <c r="S167" s="16"/>
      <c r="T167" s="16"/>
      <c r="U167" s="16"/>
      <c r="V167" s="16"/>
    </row>
    <row r="168" spans="1:22" ht="13.2" hidden="1">
      <c r="A168" s="12"/>
      <c r="B168" s="46"/>
      <c r="C168" s="12"/>
      <c r="D168" s="15"/>
      <c r="E168" s="15"/>
      <c r="F168" s="15"/>
      <c r="G168" s="16"/>
      <c r="H168" s="16"/>
      <c r="I168" s="16"/>
      <c r="J168" s="16"/>
      <c r="K168" s="16"/>
      <c r="L168" s="16"/>
      <c r="M168" s="15"/>
      <c r="N168" s="15"/>
      <c r="O168" s="16"/>
      <c r="P168" s="16"/>
      <c r="Q168" s="16"/>
      <c r="R168" s="16"/>
      <c r="S168" s="16"/>
      <c r="T168" s="16"/>
      <c r="U168" s="16"/>
      <c r="V168" s="16"/>
    </row>
    <row r="169" spans="1:22" ht="13.2" hidden="1">
      <c r="A169" s="12"/>
      <c r="B169" s="46"/>
      <c r="C169" s="12"/>
      <c r="D169" s="15"/>
      <c r="E169" s="15"/>
      <c r="F169" s="15"/>
      <c r="G169" s="16"/>
      <c r="H169" s="16"/>
      <c r="I169" s="16"/>
      <c r="J169" s="16"/>
      <c r="K169" s="16"/>
      <c r="L169" s="16"/>
      <c r="M169" s="15"/>
      <c r="N169" s="15"/>
      <c r="O169" s="16"/>
      <c r="P169" s="16"/>
      <c r="Q169" s="16"/>
      <c r="R169" s="16"/>
      <c r="S169" s="16"/>
      <c r="T169" s="16"/>
      <c r="U169" s="16"/>
      <c r="V169" s="16"/>
    </row>
    <row r="170" spans="1:22" ht="13.2" hidden="1">
      <c r="A170" s="12"/>
      <c r="B170" s="46"/>
      <c r="C170" s="12"/>
      <c r="D170" s="15"/>
      <c r="E170" s="15"/>
      <c r="F170" s="15"/>
      <c r="G170" s="16"/>
      <c r="H170" s="16"/>
      <c r="I170" s="16"/>
      <c r="J170" s="16"/>
      <c r="K170" s="16"/>
      <c r="L170" s="16"/>
      <c r="M170" s="15"/>
      <c r="N170" s="15"/>
      <c r="O170" s="16"/>
      <c r="P170" s="16"/>
      <c r="Q170" s="16"/>
      <c r="R170" s="16"/>
      <c r="S170" s="16"/>
      <c r="T170" s="16"/>
      <c r="U170" s="16"/>
      <c r="V170" s="16"/>
    </row>
    <row r="171" spans="1:22" ht="13.2" hidden="1">
      <c r="A171" s="12"/>
      <c r="B171" s="46"/>
      <c r="C171" s="12"/>
      <c r="D171" s="15"/>
      <c r="E171" s="15"/>
      <c r="F171" s="15"/>
      <c r="G171" s="16"/>
      <c r="H171" s="16"/>
      <c r="I171" s="16"/>
      <c r="J171" s="16"/>
      <c r="K171" s="16"/>
      <c r="L171" s="16"/>
      <c r="M171" s="15"/>
      <c r="N171" s="15"/>
      <c r="O171" s="16"/>
      <c r="P171" s="16"/>
      <c r="Q171" s="16"/>
      <c r="R171" s="16"/>
      <c r="S171" s="16"/>
      <c r="T171" s="16"/>
      <c r="U171" s="16"/>
      <c r="V171" s="16"/>
    </row>
    <row r="172" spans="1:22" ht="13.2" hidden="1">
      <c r="A172" s="12"/>
      <c r="B172" s="46"/>
      <c r="C172" s="12"/>
      <c r="D172" s="15"/>
      <c r="E172" s="15"/>
      <c r="F172" s="15"/>
      <c r="G172" s="16"/>
      <c r="H172" s="16"/>
      <c r="I172" s="16"/>
      <c r="J172" s="16"/>
      <c r="K172" s="16"/>
      <c r="L172" s="16"/>
      <c r="M172" s="15"/>
      <c r="N172" s="15"/>
      <c r="O172" s="16"/>
      <c r="P172" s="16"/>
      <c r="Q172" s="16"/>
      <c r="R172" s="16"/>
      <c r="S172" s="16"/>
      <c r="T172" s="16"/>
      <c r="U172" s="16"/>
      <c r="V172" s="16"/>
    </row>
    <row r="173" spans="1:22" ht="13.2" hidden="1">
      <c r="A173" s="12"/>
      <c r="B173" s="46"/>
      <c r="C173" s="12"/>
      <c r="D173" s="15"/>
      <c r="E173" s="15"/>
      <c r="F173" s="15"/>
      <c r="G173" s="16"/>
      <c r="H173" s="16"/>
      <c r="I173" s="16"/>
      <c r="J173" s="16"/>
      <c r="K173" s="16"/>
      <c r="L173" s="16"/>
      <c r="M173" s="15"/>
      <c r="N173" s="15"/>
      <c r="O173" s="16"/>
      <c r="P173" s="16"/>
      <c r="Q173" s="16"/>
      <c r="R173" s="16"/>
      <c r="S173" s="16"/>
      <c r="T173" s="16"/>
      <c r="U173" s="16"/>
      <c r="V173" s="16"/>
    </row>
    <row r="174" spans="1:22" ht="13.2" hidden="1">
      <c r="A174" s="12"/>
      <c r="B174" s="46"/>
      <c r="C174" s="12"/>
      <c r="D174" s="15"/>
      <c r="E174" s="15"/>
      <c r="F174" s="15"/>
      <c r="G174" s="16"/>
      <c r="H174" s="16"/>
      <c r="I174" s="16"/>
      <c r="J174" s="16"/>
      <c r="K174" s="16"/>
      <c r="L174" s="16"/>
      <c r="M174" s="15"/>
      <c r="N174" s="15"/>
      <c r="O174" s="16"/>
      <c r="P174" s="16"/>
      <c r="Q174" s="16"/>
      <c r="R174" s="16"/>
      <c r="S174" s="16"/>
      <c r="T174" s="16"/>
      <c r="U174" s="16"/>
      <c r="V174" s="16"/>
    </row>
    <row r="175" spans="1:22" ht="13.2" hidden="1">
      <c r="A175" s="12"/>
      <c r="B175" s="46"/>
      <c r="C175" s="12"/>
      <c r="D175" s="15"/>
      <c r="E175" s="15"/>
      <c r="F175" s="15"/>
      <c r="G175" s="16"/>
      <c r="H175" s="16"/>
      <c r="I175" s="16"/>
      <c r="J175" s="16"/>
      <c r="K175" s="16"/>
      <c r="L175" s="16"/>
      <c r="M175" s="15"/>
      <c r="N175" s="15"/>
      <c r="O175" s="16"/>
      <c r="P175" s="16"/>
      <c r="Q175" s="16"/>
      <c r="R175" s="16"/>
      <c r="S175" s="16"/>
      <c r="T175" s="16"/>
      <c r="U175" s="16"/>
      <c r="V175" s="16"/>
    </row>
    <row r="176" spans="1:22" ht="13.2" hidden="1">
      <c r="A176" s="12"/>
      <c r="B176" s="46"/>
      <c r="C176" s="12"/>
      <c r="D176" s="15"/>
      <c r="E176" s="15"/>
      <c r="F176" s="15"/>
      <c r="G176" s="16"/>
      <c r="H176" s="16"/>
      <c r="I176" s="16"/>
      <c r="J176" s="16"/>
      <c r="K176" s="16"/>
      <c r="L176" s="16"/>
      <c r="M176" s="15"/>
      <c r="N176" s="15"/>
      <c r="O176" s="16"/>
      <c r="P176" s="16"/>
      <c r="Q176" s="16"/>
      <c r="R176" s="16"/>
      <c r="S176" s="16"/>
      <c r="T176" s="16"/>
      <c r="U176" s="16"/>
      <c r="V176" s="16"/>
    </row>
    <row r="177" spans="1:22" ht="13.2" hidden="1">
      <c r="A177" s="12"/>
      <c r="B177" s="46"/>
      <c r="C177" s="12"/>
      <c r="D177" s="15"/>
      <c r="E177" s="15"/>
      <c r="F177" s="15"/>
      <c r="G177" s="16"/>
      <c r="H177" s="16"/>
      <c r="I177" s="16"/>
      <c r="J177" s="16"/>
      <c r="K177" s="16"/>
      <c r="L177" s="16"/>
      <c r="M177" s="15"/>
      <c r="N177" s="15"/>
      <c r="O177" s="16"/>
      <c r="P177" s="16"/>
      <c r="Q177" s="16"/>
      <c r="R177" s="16"/>
      <c r="S177" s="16"/>
      <c r="T177" s="16"/>
      <c r="U177" s="16"/>
      <c r="V177" s="16"/>
    </row>
    <row r="178" spans="1:22" ht="13.2" hidden="1">
      <c r="A178" s="12"/>
      <c r="B178" s="46"/>
      <c r="C178" s="12"/>
      <c r="D178" s="15"/>
      <c r="E178" s="15"/>
      <c r="F178" s="15"/>
      <c r="G178" s="16"/>
      <c r="H178" s="16"/>
      <c r="I178" s="16"/>
      <c r="J178" s="16"/>
      <c r="K178" s="16"/>
      <c r="L178" s="16"/>
      <c r="M178" s="15"/>
      <c r="N178" s="15"/>
      <c r="O178" s="16"/>
      <c r="P178" s="16"/>
      <c r="Q178" s="16"/>
      <c r="R178" s="16"/>
      <c r="S178" s="16"/>
      <c r="T178" s="16"/>
      <c r="U178" s="16"/>
      <c r="V178" s="16"/>
    </row>
    <row r="179" spans="1:22" ht="13.2" hidden="1">
      <c r="A179" s="12"/>
      <c r="B179" s="46"/>
      <c r="C179" s="12"/>
      <c r="D179" s="15"/>
      <c r="E179" s="15"/>
      <c r="F179" s="15"/>
      <c r="G179" s="16"/>
      <c r="H179" s="16"/>
      <c r="I179" s="16"/>
      <c r="J179" s="16"/>
      <c r="K179" s="16"/>
      <c r="L179" s="16"/>
      <c r="M179" s="15"/>
      <c r="N179" s="15"/>
      <c r="O179" s="16"/>
      <c r="P179" s="16"/>
      <c r="Q179" s="16"/>
      <c r="R179" s="16"/>
      <c r="S179" s="16"/>
      <c r="T179" s="16"/>
      <c r="U179" s="16"/>
      <c r="V179" s="16"/>
    </row>
    <row r="180" spans="1:22" ht="13.2" hidden="1">
      <c r="A180" s="12"/>
      <c r="B180" s="46"/>
      <c r="C180" s="12"/>
      <c r="D180" s="15"/>
      <c r="E180" s="15"/>
      <c r="F180" s="15"/>
      <c r="G180" s="16"/>
      <c r="H180" s="16"/>
      <c r="I180" s="16"/>
      <c r="J180" s="16"/>
      <c r="K180" s="16"/>
      <c r="L180" s="16"/>
      <c r="M180" s="15"/>
      <c r="N180" s="15"/>
      <c r="O180" s="16"/>
      <c r="P180" s="16"/>
      <c r="Q180" s="16"/>
      <c r="R180" s="16"/>
      <c r="S180" s="16"/>
      <c r="T180" s="16"/>
      <c r="U180" s="16"/>
      <c r="V180" s="16"/>
    </row>
    <row r="181" spans="1:22" ht="13.2" hidden="1">
      <c r="A181" s="12"/>
      <c r="B181" s="46"/>
      <c r="C181" s="12"/>
      <c r="D181" s="15"/>
      <c r="E181" s="15"/>
      <c r="F181" s="15"/>
      <c r="G181" s="16"/>
      <c r="H181" s="16"/>
      <c r="I181" s="16"/>
      <c r="J181" s="16"/>
      <c r="K181" s="16"/>
      <c r="L181" s="16"/>
      <c r="M181" s="15"/>
      <c r="N181" s="15"/>
      <c r="O181" s="16"/>
      <c r="P181" s="16"/>
      <c r="Q181" s="16"/>
      <c r="R181" s="16"/>
      <c r="S181" s="16"/>
      <c r="T181" s="16"/>
      <c r="U181" s="16"/>
      <c r="V181" s="16"/>
    </row>
    <row r="182" spans="1:22" ht="13.2" hidden="1">
      <c r="A182" s="12"/>
      <c r="B182" s="46"/>
      <c r="C182" s="12"/>
      <c r="D182" s="15"/>
      <c r="E182" s="15"/>
      <c r="F182" s="15"/>
      <c r="G182" s="16"/>
      <c r="H182" s="16"/>
      <c r="I182" s="16"/>
      <c r="J182" s="16"/>
      <c r="K182" s="16"/>
      <c r="L182" s="16"/>
      <c r="M182" s="15"/>
      <c r="N182" s="15"/>
      <c r="O182" s="16"/>
      <c r="P182" s="16"/>
      <c r="Q182" s="16"/>
      <c r="R182" s="16"/>
      <c r="S182" s="16"/>
      <c r="T182" s="16"/>
      <c r="U182" s="16"/>
      <c r="V182" s="16"/>
    </row>
    <row r="183" spans="1:22" ht="13.2" hidden="1">
      <c r="A183" s="12"/>
      <c r="B183" s="46"/>
      <c r="C183" s="12"/>
      <c r="D183" s="15"/>
      <c r="E183" s="15"/>
      <c r="F183" s="15"/>
      <c r="G183" s="16"/>
      <c r="H183" s="16"/>
      <c r="I183" s="16"/>
      <c r="J183" s="16"/>
      <c r="K183" s="16"/>
      <c r="L183" s="16"/>
      <c r="M183" s="15"/>
      <c r="N183" s="15"/>
      <c r="O183" s="16"/>
      <c r="P183" s="16"/>
      <c r="Q183" s="16"/>
      <c r="R183" s="16"/>
      <c r="S183" s="16"/>
      <c r="T183" s="16"/>
      <c r="U183" s="16"/>
      <c r="V183" s="16"/>
    </row>
    <row r="184" spans="1:22" ht="13.2" hidden="1">
      <c r="A184" s="12"/>
      <c r="B184" s="46"/>
      <c r="C184" s="12"/>
      <c r="D184" s="15"/>
      <c r="E184" s="15"/>
      <c r="F184" s="15"/>
      <c r="G184" s="16"/>
      <c r="H184" s="16"/>
      <c r="I184" s="16"/>
      <c r="J184" s="16"/>
      <c r="K184" s="16"/>
      <c r="L184" s="16"/>
      <c r="M184" s="15"/>
      <c r="N184" s="15"/>
      <c r="O184" s="16"/>
      <c r="P184" s="16"/>
      <c r="Q184" s="16"/>
      <c r="R184" s="16"/>
      <c r="S184" s="16"/>
      <c r="T184" s="16"/>
      <c r="U184" s="16"/>
      <c r="V184" s="16"/>
    </row>
    <row r="185" spans="1:22" ht="13.2" hidden="1">
      <c r="A185" s="12"/>
      <c r="B185" s="46"/>
      <c r="C185" s="12"/>
      <c r="D185" s="15"/>
      <c r="E185" s="15"/>
      <c r="F185" s="15"/>
      <c r="G185" s="16"/>
      <c r="H185" s="16"/>
      <c r="I185" s="16"/>
      <c r="J185" s="16"/>
      <c r="K185" s="16"/>
      <c r="L185" s="16"/>
      <c r="M185" s="15"/>
      <c r="N185" s="15"/>
      <c r="O185" s="16"/>
      <c r="P185" s="16"/>
      <c r="Q185" s="16"/>
      <c r="R185" s="16"/>
      <c r="S185" s="16"/>
      <c r="T185" s="16"/>
      <c r="U185" s="16"/>
      <c r="V185" s="16"/>
    </row>
    <row r="186" spans="1:22" ht="13.2" hidden="1">
      <c r="A186" s="12"/>
      <c r="B186" s="46"/>
      <c r="C186" s="12"/>
      <c r="D186" s="15"/>
      <c r="E186" s="15"/>
      <c r="F186" s="15"/>
      <c r="G186" s="16"/>
      <c r="H186" s="16"/>
      <c r="I186" s="16"/>
      <c r="J186" s="16"/>
      <c r="K186" s="16"/>
      <c r="L186" s="16"/>
      <c r="M186" s="15"/>
      <c r="N186" s="15"/>
      <c r="O186" s="16"/>
      <c r="P186" s="16"/>
      <c r="Q186" s="16"/>
      <c r="R186" s="16"/>
      <c r="S186" s="16"/>
      <c r="T186" s="16"/>
      <c r="U186" s="16"/>
      <c r="V186" s="16"/>
    </row>
    <row r="187" spans="1:22" ht="13.2" hidden="1">
      <c r="A187" s="12"/>
      <c r="B187" s="46"/>
      <c r="C187" s="12"/>
      <c r="D187" s="15"/>
      <c r="E187" s="15"/>
      <c r="F187" s="15"/>
      <c r="G187" s="16"/>
      <c r="H187" s="16"/>
      <c r="I187" s="16"/>
      <c r="J187" s="16"/>
      <c r="K187" s="16"/>
      <c r="L187" s="16"/>
      <c r="M187" s="15"/>
      <c r="N187" s="15"/>
      <c r="O187" s="16"/>
      <c r="P187" s="16"/>
      <c r="Q187" s="16"/>
      <c r="R187" s="16"/>
      <c r="S187" s="16"/>
      <c r="T187" s="16"/>
      <c r="U187" s="16"/>
      <c r="V187" s="16"/>
    </row>
    <row r="188" spans="1:22" ht="13.2" hidden="1">
      <c r="A188" s="12"/>
      <c r="B188" s="46"/>
      <c r="C188" s="12"/>
      <c r="D188" s="15"/>
      <c r="E188" s="15"/>
      <c r="F188" s="15"/>
      <c r="G188" s="16"/>
      <c r="H188" s="16"/>
      <c r="I188" s="16"/>
      <c r="J188" s="16"/>
      <c r="K188" s="16"/>
      <c r="L188" s="16"/>
      <c r="M188" s="15"/>
      <c r="N188" s="15"/>
      <c r="O188" s="16"/>
      <c r="P188" s="16"/>
      <c r="Q188" s="16"/>
      <c r="R188" s="16"/>
      <c r="S188" s="16"/>
      <c r="T188" s="16"/>
      <c r="U188" s="16"/>
      <c r="V188" s="16"/>
    </row>
    <row r="189" spans="1:22" ht="13.2" hidden="1">
      <c r="A189" s="12"/>
      <c r="B189" s="46"/>
      <c r="C189" s="12"/>
      <c r="D189" s="15"/>
      <c r="E189" s="15"/>
      <c r="F189" s="15"/>
      <c r="G189" s="16"/>
      <c r="H189" s="16"/>
      <c r="I189" s="16"/>
      <c r="J189" s="16"/>
      <c r="K189" s="16"/>
      <c r="L189" s="16"/>
      <c r="M189" s="15"/>
      <c r="N189" s="15"/>
      <c r="O189" s="16"/>
      <c r="P189" s="16"/>
      <c r="Q189" s="16"/>
      <c r="R189" s="16"/>
      <c r="S189" s="16"/>
      <c r="T189" s="16"/>
      <c r="U189" s="16"/>
      <c r="V189" s="16"/>
    </row>
    <row r="190" spans="1:22" ht="13.2" hidden="1">
      <c r="A190" s="12"/>
      <c r="B190" s="46"/>
      <c r="C190" s="12"/>
      <c r="D190" s="15"/>
      <c r="E190" s="15"/>
      <c r="F190" s="15"/>
      <c r="G190" s="16"/>
      <c r="H190" s="16"/>
      <c r="I190" s="16"/>
      <c r="J190" s="16"/>
      <c r="K190" s="16"/>
      <c r="L190" s="16"/>
      <c r="M190" s="15"/>
      <c r="N190" s="15"/>
      <c r="O190" s="16"/>
      <c r="P190" s="16"/>
      <c r="Q190" s="16"/>
      <c r="R190" s="16"/>
      <c r="S190" s="16"/>
      <c r="T190" s="16"/>
      <c r="U190" s="16"/>
      <c r="V190" s="16"/>
    </row>
    <row r="191" spans="1:22" ht="13.2" hidden="1">
      <c r="A191" s="12"/>
      <c r="B191" s="46"/>
      <c r="C191" s="12"/>
      <c r="D191" s="15"/>
      <c r="E191" s="15"/>
      <c r="F191" s="15"/>
      <c r="G191" s="16"/>
      <c r="H191" s="16"/>
      <c r="I191" s="16"/>
      <c r="J191" s="16"/>
      <c r="K191" s="16"/>
      <c r="L191" s="16"/>
      <c r="M191" s="15"/>
      <c r="N191" s="15"/>
      <c r="O191" s="16"/>
      <c r="P191" s="16"/>
      <c r="Q191" s="16"/>
      <c r="R191" s="16"/>
      <c r="S191" s="16"/>
      <c r="T191" s="16"/>
      <c r="U191" s="16"/>
      <c r="V191" s="16"/>
    </row>
    <row r="192" spans="1:22" ht="13.2" hidden="1">
      <c r="A192" s="12"/>
      <c r="B192" s="46"/>
      <c r="C192" s="12"/>
      <c r="D192" s="15"/>
      <c r="E192" s="15"/>
      <c r="F192" s="15"/>
      <c r="G192" s="16"/>
      <c r="H192" s="16"/>
      <c r="I192" s="16"/>
      <c r="J192" s="16"/>
      <c r="K192" s="16"/>
      <c r="L192" s="16"/>
      <c r="M192" s="15"/>
      <c r="N192" s="15"/>
      <c r="O192" s="16"/>
      <c r="P192" s="16"/>
      <c r="Q192" s="16"/>
      <c r="R192" s="16"/>
      <c r="S192" s="16"/>
      <c r="T192" s="16"/>
      <c r="U192" s="16"/>
      <c r="V192" s="16"/>
    </row>
    <row r="193" spans="1:22" ht="13.2">
      <c r="A193" s="12"/>
      <c r="B193" s="46"/>
      <c r="C193" s="12"/>
      <c r="D193" s="15"/>
      <c r="E193" s="15"/>
      <c r="F193" s="15"/>
      <c r="G193" s="16"/>
      <c r="H193" s="16"/>
      <c r="I193" s="16"/>
      <c r="J193" s="16"/>
      <c r="K193" s="16"/>
      <c r="L193" s="16"/>
      <c r="M193" s="15"/>
      <c r="N193" s="16"/>
      <c r="O193" s="16"/>
      <c r="P193" s="16"/>
      <c r="Q193" s="16"/>
      <c r="R193" s="16"/>
      <c r="S193" s="16"/>
      <c r="T193" s="16"/>
      <c r="U193" s="16"/>
      <c r="V193" s="16"/>
    </row>
    <row r="194" spans="1:22" ht="13.2">
      <c r="A194" s="12"/>
      <c r="B194" s="46"/>
      <c r="C194" s="12"/>
      <c r="D194" s="15"/>
      <c r="E194" s="15"/>
      <c r="F194" s="15"/>
      <c r="G194" s="16"/>
      <c r="H194" s="16"/>
      <c r="I194" s="16"/>
      <c r="J194" s="16"/>
      <c r="K194" s="16"/>
      <c r="L194" s="16"/>
      <c r="M194" s="15"/>
      <c r="N194" s="16"/>
      <c r="O194" s="16"/>
      <c r="P194" s="16"/>
      <c r="Q194" s="16"/>
      <c r="R194" s="16"/>
      <c r="S194" s="16"/>
      <c r="T194" s="16"/>
      <c r="U194" s="16"/>
      <c r="V194" s="16"/>
    </row>
    <row r="195" spans="1:22" ht="13.2">
      <c r="A195" s="12"/>
      <c r="B195" s="46"/>
      <c r="C195" s="12"/>
      <c r="D195" s="15"/>
      <c r="E195" s="15"/>
      <c r="F195" s="15"/>
      <c r="G195" s="16"/>
      <c r="H195" s="16"/>
      <c r="I195" s="16"/>
      <c r="J195" s="16"/>
      <c r="K195" s="16"/>
      <c r="L195" s="16"/>
      <c r="M195" s="15"/>
      <c r="N195" s="16"/>
      <c r="O195" s="16"/>
      <c r="P195" s="16"/>
      <c r="Q195" s="16"/>
      <c r="R195" s="16"/>
      <c r="S195" s="16"/>
      <c r="T195" s="16"/>
      <c r="U195" s="16"/>
      <c r="V195" s="16"/>
    </row>
    <row r="196" spans="1:22" ht="13.2">
      <c r="A196" s="12"/>
      <c r="B196" s="46"/>
      <c r="C196" s="12"/>
      <c r="D196" s="15"/>
      <c r="E196" s="15"/>
      <c r="F196" s="15"/>
      <c r="G196" s="16"/>
      <c r="H196" s="16"/>
      <c r="I196" s="16"/>
      <c r="J196" s="16"/>
      <c r="K196" s="16"/>
      <c r="L196" s="16"/>
      <c r="M196" s="15"/>
      <c r="N196" s="16"/>
      <c r="O196" s="16"/>
      <c r="P196" s="16"/>
      <c r="Q196" s="16"/>
      <c r="R196" s="16"/>
      <c r="S196" s="16"/>
      <c r="T196" s="16"/>
      <c r="U196" s="16"/>
      <c r="V196" s="16"/>
    </row>
    <row r="197" spans="1:22" ht="13.2">
      <c r="A197" s="12"/>
      <c r="B197" s="46"/>
      <c r="C197" s="12"/>
      <c r="D197" s="15"/>
      <c r="E197" s="15"/>
      <c r="F197" s="15"/>
      <c r="G197" s="16"/>
      <c r="H197" s="16"/>
      <c r="I197" s="16"/>
      <c r="J197" s="16"/>
      <c r="K197" s="16"/>
      <c r="L197" s="16"/>
      <c r="M197" s="15"/>
      <c r="N197" s="16"/>
      <c r="O197" s="16"/>
      <c r="P197" s="16"/>
      <c r="Q197" s="16"/>
      <c r="R197" s="16"/>
      <c r="S197" s="16"/>
      <c r="T197" s="16"/>
      <c r="U197" s="16"/>
      <c r="V197" s="16"/>
    </row>
    <row r="198" spans="1:22" ht="13.2">
      <c r="A198" s="12"/>
      <c r="B198" s="46"/>
      <c r="C198" s="12"/>
      <c r="D198" s="15"/>
      <c r="E198" s="15"/>
      <c r="F198" s="15"/>
      <c r="G198" s="16"/>
      <c r="H198" s="16"/>
      <c r="I198" s="16"/>
      <c r="J198" s="16"/>
      <c r="K198" s="16"/>
      <c r="L198" s="16"/>
      <c r="M198" s="15"/>
      <c r="N198" s="16"/>
      <c r="O198" s="16"/>
      <c r="P198" s="16"/>
      <c r="Q198" s="16"/>
      <c r="R198" s="16"/>
      <c r="S198" s="16"/>
      <c r="T198" s="16"/>
      <c r="U198" s="16"/>
      <c r="V198" s="16"/>
    </row>
    <row r="199" spans="1:22" ht="13.2">
      <c r="A199" s="12"/>
      <c r="B199" s="46"/>
      <c r="C199" s="12"/>
      <c r="D199" s="15"/>
      <c r="E199" s="15"/>
      <c r="F199" s="15"/>
      <c r="G199" s="16"/>
      <c r="H199" s="16"/>
      <c r="I199" s="16"/>
      <c r="J199" s="16"/>
      <c r="K199" s="16"/>
      <c r="L199" s="16"/>
      <c r="M199" s="15"/>
      <c r="N199" s="16"/>
      <c r="O199" s="16"/>
      <c r="P199" s="16"/>
      <c r="Q199" s="16"/>
      <c r="R199" s="16"/>
      <c r="S199" s="16"/>
      <c r="T199" s="16"/>
      <c r="U199" s="16"/>
      <c r="V199" s="16"/>
    </row>
    <row r="200" spans="1:22" ht="13.2">
      <c r="A200" s="12"/>
      <c r="B200" s="46"/>
      <c r="C200" s="12"/>
      <c r="D200" s="15"/>
      <c r="E200" s="15"/>
      <c r="F200" s="15"/>
      <c r="G200" s="16"/>
      <c r="H200" s="16"/>
      <c r="I200" s="16"/>
      <c r="J200" s="16"/>
      <c r="K200" s="16"/>
      <c r="L200" s="16"/>
      <c r="M200" s="15"/>
      <c r="N200" s="16"/>
      <c r="O200" s="16"/>
      <c r="P200" s="16"/>
      <c r="Q200" s="16"/>
      <c r="R200" s="16"/>
      <c r="S200" s="16"/>
      <c r="T200" s="16"/>
      <c r="U200" s="16"/>
      <c r="V200" s="16"/>
    </row>
    <row r="201" spans="1:22" ht="13.2">
      <c r="A201" s="12"/>
      <c r="B201" s="46"/>
      <c r="C201" s="12"/>
      <c r="D201" s="15"/>
      <c r="E201" s="15"/>
      <c r="F201" s="15"/>
      <c r="G201" s="16"/>
      <c r="H201" s="16"/>
      <c r="I201" s="16"/>
      <c r="J201" s="16"/>
      <c r="K201" s="16"/>
      <c r="L201" s="16"/>
      <c r="M201" s="15"/>
      <c r="N201" s="16"/>
      <c r="O201" s="16"/>
      <c r="P201" s="16"/>
      <c r="Q201" s="16"/>
      <c r="R201" s="16"/>
      <c r="S201" s="16"/>
      <c r="T201" s="16"/>
      <c r="U201" s="16"/>
      <c r="V201" s="16"/>
    </row>
    <row r="202" spans="1:22" ht="13.2">
      <c r="A202" s="12"/>
      <c r="B202" s="46"/>
      <c r="C202" s="12"/>
      <c r="D202" s="15"/>
      <c r="E202" s="15"/>
      <c r="F202" s="15"/>
      <c r="G202" s="16"/>
      <c r="H202" s="16"/>
      <c r="I202" s="16"/>
      <c r="J202" s="16"/>
      <c r="K202" s="16"/>
      <c r="L202" s="16"/>
      <c r="M202" s="15"/>
      <c r="N202" s="16"/>
      <c r="O202" s="16"/>
      <c r="P202" s="16"/>
      <c r="Q202" s="16"/>
      <c r="R202" s="16"/>
      <c r="S202" s="16"/>
      <c r="T202" s="16"/>
      <c r="U202" s="16"/>
      <c r="V202" s="16"/>
    </row>
    <row r="203" spans="1:22" ht="13.2">
      <c r="A203" s="12"/>
      <c r="B203" s="46"/>
      <c r="C203" s="12"/>
      <c r="D203" s="15"/>
      <c r="E203" s="15"/>
      <c r="F203" s="15"/>
      <c r="G203" s="16"/>
      <c r="H203" s="16"/>
      <c r="I203" s="16"/>
      <c r="J203" s="16"/>
      <c r="K203" s="16"/>
      <c r="L203" s="16"/>
      <c r="M203" s="15"/>
      <c r="N203" s="16"/>
      <c r="O203" s="16"/>
      <c r="P203" s="16"/>
      <c r="Q203" s="16"/>
      <c r="R203" s="16"/>
      <c r="S203" s="16"/>
      <c r="T203" s="16"/>
      <c r="U203" s="16"/>
      <c r="V203" s="16"/>
    </row>
    <row r="204" spans="1:22" ht="13.2">
      <c r="A204" s="12"/>
      <c r="B204" s="46"/>
      <c r="C204" s="12"/>
      <c r="D204" s="15"/>
      <c r="E204" s="15"/>
      <c r="F204" s="15"/>
      <c r="G204" s="16"/>
      <c r="H204" s="16"/>
      <c r="I204" s="16"/>
      <c r="J204" s="16"/>
      <c r="K204" s="16"/>
      <c r="L204" s="16"/>
      <c r="M204" s="15"/>
      <c r="N204" s="16"/>
      <c r="O204" s="16"/>
      <c r="P204" s="16"/>
      <c r="Q204" s="16"/>
      <c r="R204" s="16"/>
      <c r="S204" s="16"/>
      <c r="T204" s="16"/>
      <c r="U204" s="16"/>
      <c r="V204" s="16"/>
    </row>
    <row r="205" spans="1:22" ht="13.2">
      <c r="A205" s="12"/>
      <c r="B205" s="46"/>
      <c r="C205" s="12"/>
      <c r="D205" s="15"/>
      <c r="E205" s="15"/>
      <c r="F205" s="15"/>
      <c r="G205" s="16"/>
      <c r="H205" s="16"/>
      <c r="I205" s="16"/>
      <c r="J205" s="16"/>
      <c r="K205" s="16"/>
      <c r="L205" s="16"/>
      <c r="M205" s="15"/>
      <c r="N205" s="16"/>
      <c r="O205" s="16"/>
      <c r="P205" s="16"/>
      <c r="Q205" s="16"/>
      <c r="R205" s="16"/>
      <c r="S205" s="16"/>
      <c r="T205" s="16"/>
      <c r="U205" s="16"/>
      <c r="V205" s="16"/>
    </row>
    <row r="206" spans="1:22" ht="13.2">
      <c r="A206" s="12"/>
      <c r="B206" s="46"/>
      <c r="C206" s="12"/>
      <c r="D206" s="15"/>
      <c r="E206" s="15"/>
      <c r="F206" s="15"/>
      <c r="G206" s="16"/>
      <c r="H206" s="16"/>
      <c r="I206" s="16"/>
      <c r="J206" s="16"/>
      <c r="K206" s="16"/>
      <c r="L206" s="16"/>
      <c r="M206" s="15"/>
      <c r="N206" s="16"/>
      <c r="O206" s="16"/>
      <c r="P206" s="16"/>
      <c r="Q206" s="16"/>
      <c r="R206" s="16"/>
      <c r="S206" s="16"/>
      <c r="T206" s="16"/>
      <c r="U206" s="16"/>
      <c r="V206" s="16"/>
    </row>
    <row r="207" spans="1:22" ht="13.2">
      <c r="A207" s="12"/>
      <c r="B207" s="46"/>
      <c r="C207" s="12"/>
      <c r="D207" s="15"/>
      <c r="E207" s="15"/>
      <c r="F207" s="15"/>
      <c r="G207" s="16"/>
      <c r="H207" s="16"/>
      <c r="I207" s="16"/>
      <c r="J207" s="16"/>
      <c r="K207" s="16"/>
      <c r="L207" s="16"/>
      <c r="M207" s="15"/>
      <c r="N207" s="16"/>
      <c r="O207" s="16"/>
      <c r="P207" s="16"/>
      <c r="Q207" s="16"/>
      <c r="R207" s="16"/>
      <c r="S207" s="16"/>
      <c r="T207" s="16"/>
      <c r="U207" s="16"/>
      <c r="V207" s="16"/>
    </row>
    <row r="208" spans="1:22" ht="13.2">
      <c r="A208" s="12"/>
      <c r="B208" s="46"/>
      <c r="C208" s="12"/>
      <c r="D208" s="15"/>
      <c r="E208" s="15"/>
      <c r="F208" s="15"/>
      <c r="G208" s="16"/>
      <c r="H208" s="16"/>
      <c r="I208" s="16"/>
      <c r="J208" s="16"/>
      <c r="K208" s="16"/>
      <c r="L208" s="16"/>
      <c r="M208" s="15"/>
      <c r="N208" s="16"/>
      <c r="O208" s="16"/>
      <c r="P208" s="16"/>
      <c r="Q208" s="16"/>
      <c r="R208" s="16"/>
      <c r="S208" s="16"/>
      <c r="T208" s="16"/>
      <c r="U208" s="16"/>
      <c r="V208" s="16"/>
    </row>
    <row r="209" spans="1:22" ht="13.2">
      <c r="A209" s="12"/>
      <c r="B209" s="46"/>
      <c r="C209" s="12"/>
      <c r="D209" s="15"/>
      <c r="E209" s="15"/>
      <c r="F209" s="15"/>
      <c r="G209" s="16"/>
      <c r="H209" s="16"/>
      <c r="I209" s="16"/>
      <c r="J209" s="16"/>
      <c r="K209" s="16"/>
      <c r="L209" s="16"/>
      <c r="M209" s="15"/>
      <c r="N209" s="16"/>
      <c r="O209" s="16"/>
      <c r="P209" s="16"/>
      <c r="Q209" s="16"/>
      <c r="R209" s="16"/>
      <c r="S209" s="16"/>
      <c r="T209" s="16"/>
      <c r="U209" s="16"/>
      <c r="V209" s="16"/>
    </row>
    <row r="210" spans="1:22" ht="13.2">
      <c r="A210" s="12"/>
      <c r="B210" s="46"/>
      <c r="C210" s="12"/>
      <c r="D210" s="15"/>
      <c r="E210" s="15"/>
      <c r="F210" s="15"/>
      <c r="G210" s="16"/>
      <c r="H210" s="16"/>
      <c r="I210" s="16"/>
      <c r="J210" s="16"/>
      <c r="K210" s="16"/>
      <c r="L210" s="16"/>
      <c r="M210" s="15"/>
      <c r="N210" s="16"/>
      <c r="O210" s="16"/>
      <c r="P210" s="16"/>
      <c r="Q210" s="16"/>
      <c r="R210" s="16"/>
      <c r="S210" s="16"/>
      <c r="T210" s="16"/>
      <c r="U210" s="16"/>
      <c r="V210" s="16"/>
    </row>
    <row r="211" spans="1:22" ht="13.2">
      <c r="A211" s="12"/>
      <c r="B211" s="46"/>
      <c r="C211" s="12"/>
      <c r="D211" s="15"/>
      <c r="E211" s="15"/>
      <c r="F211" s="15"/>
      <c r="G211" s="16"/>
      <c r="H211" s="16"/>
      <c r="I211" s="16"/>
      <c r="J211" s="16"/>
      <c r="K211" s="16"/>
      <c r="L211" s="16"/>
      <c r="M211" s="15"/>
      <c r="N211" s="16"/>
      <c r="O211" s="16"/>
      <c r="P211" s="16"/>
      <c r="Q211" s="16"/>
      <c r="R211" s="16"/>
      <c r="S211" s="16"/>
      <c r="T211" s="16"/>
      <c r="U211" s="16"/>
      <c r="V211" s="16"/>
    </row>
    <row r="212" spans="1:22" ht="13.2">
      <c r="A212" s="12"/>
      <c r="B212" s="46"/>
      <c r="C212" s="12"/>
      <c r="D212" s="15"/>
      <c r="E212" s="15"/>
      <c r="F212" s="15"/>
      <c r="G212" s="16"/>
      <c r="H212" s="16"/>
      <c r="I212" s="16"/>
      <c r="J212" s="16"/>
      <c r="K212" s="16"/>
      <c r="L212" s="16"/>
      <c r="M212" s="15"/>
      <c r="N212" s="16"/>
      <c r="O212" s="16"/>
      <c r="P212" s="16"/>
      <c r="Q212" s="16"/>
      <c r="R212" s="16"/>
      <c r="S212" s="16"/>
      <c r="T212" s="16"/>
      <c r="U212" s="16"/>
      <c r="V212" s="16"/>
    </row>
    <row r="213" spans="1:22" ht="13.2">
      <c r="A213" s="12"/>
      <c r="B213" s="46"/>
      <c r="C213" s="12"/>
      <c r="D213" s="15"/>
      <c r="E213" s="15"/>
      <c r="F213" s="15"/>
      <c r="G213" s="16"/>
      <c r="H213" s="16"/>
      <c r="I213" s="16"/>
      <c r="J213" s="16"/>
      <c r="K213" s="16"/>
      <c r="L213" s="16"/>
      <c r="M213" s="15"/>
      <c r="N213" s="16"/>
      <c r="O213" s="16"/>
      <c r="P213" s="16"/>
      <c r="Q213" s="16"/>
      <c r="R213" s="16"/>
      <c r="S213" s="16"/>
      <c r="T213" s="16"/>
      <c r="U213" s="16"/>
      <c r="V213" s="16"/>
    </row>
    <row r="214" spans="1:22" ht="13.2">
      <c r="A214" s="12"/>
      <c r="B214" s="46"/>
      <c r="C214" s="12"/>
      <c r="D214" s="15"/>
      <c r="E214" s="15"/>
      <c r="F214" s="15"/>
      <c r="G214" s="16"/>
      <c r="H214" s="16"/>
      <c r="I214" s="16"/>
      <c r="J214" s="16"/>
      <c r="K214" s="16"/>
      <c r="L214" s="16"/>
      <c r="M214" s="15"/>
      <c r="N214" s="16"/>
      <c r="O214" s="16"/>
      <c r="P214" s="16"/>
      <c r="Q214" s="16"/>
      <c r="R214" s="16"/>
      <c r="S214" s="16"/>
      <c r="T214" s="16"/>
      <c r="U214" s="16"/>
      <c r="V214" s="16"/>
    </row>
    <row r="215" spans="1:22" ht="13.2">
      <c r="A215" s="12"/>
      <c r="B215" s="46"/>
      <c r="C215" s="12"/>
      <c r="D215" s="15"/>
      <c r="E215" s="15"/>
      <c r="F215" s="15"/>
      <c r="G215" s="16"/>
      <c r="H215" s="16"/>
      <c r="I215" s="16"/>
      <c r="J215" s="16"/>
      <c r="K215" s="16"/>
      <c r="L215" s="16"/>
      <c r="M215" s="15"/>
      <c r="N215" s="16"/>
      <c r="O215" s="16"/>
      <c r="P215" s="16"/>
      <c r="Q215" s="16"/>
      <c r="R215" s="16"/>
      <c r="S215" s="16"/>
      <c r="T215" s="16"/>
      <c r="U215" s="16"/>
      <c r="V215" s="16"/>
    </row>
    <row r="216" spans="1:22" ht="13.2">
      <c r="A216" s="12"/>
      <c r="B216" s="46"/>
      <c r="C216" s="12"/>
      <c r="D216" s="15"/>
      <c r="E216" s="15"/>
      <c r="F216" s="15"/>
      <c r="G216" s="16"/>
      <c r="H216" s="16"/>
      <c r="I216" s="16"/>
      <c r="J216" s="16"/>
      <c r="K216" s="16"/>
      <c r="L216" s="16"/>
      <c r="M216" s="15"/>
      <c r="N216" s="16"/>
      <c r="O216" s="16"/>
      <c r="P216" s="16"/>
      <c r="Q216" s="16"/>
      <c r="R216" s="16"/>
      <c r="S216" s="16"/>
      <c r="T216" s="16"/>
      <c r="U216" s="16"/>
      <c r="V216" s="16"/>
    </row>
    <row r="217" spans="1:22" ht="13.2">
      <c r="A217" s="12"/>
      <c r="B217" s="46"/>
      <c r="C217" s="12"/>
      <c r="D217" s="15"/>
      <c r="E217" s="15"/>
      <c r="F217" s="15"/>
      <c r="G217" s="16"/>
      <c r="H217" s="16"/>
      <c r="I217" s="16"/>
      <c r="J217" s="16"/>
      <c r="K217" s="16"/>
      <c r="L217" s="16"/>
      <c r="M217" s="15"/>
      <c r="N217" s="16"/>
      <c r="O217" s="16"/>
      <c r="P217" s="16"/>
      <c r="Q217" s="16"/>
      <c r="R217" s="16"/>
      <c r="S217" s="16"/>
      <c r="T217" s="16"/>
      <c r="U217" s="16"/>
      <c r="V217" s="16"/>
    </row>
    <row r="218" spans="1:22" ht="13.2">
      <c r="A218" s="12"/>
      <c r="B218" s="46"/>
      <c r="C218" s="12"/>
      <c r="D218" s="15"/>
      <c r="E218" s="15"/>
      <c r="F218" s="15"/>
      <c r="G218" s="16"/>
      <c r="H218" s="16"/>
      <c r="I218" s="16"/>
      <c r="J218" s="16"/>
      <c r="K218" s="16"/>
      <c r="L218" s="16"/>
      <c r="M218" s="15"/>
      <c r="N218" s="16"/>
      <c r="O218" s="16"/>
      <c r="P218" s="16"/>
      <c r="Q218" s="16"/>
      <c r="R218" s="16"/>
      <c r="S218" s="16"/>
      <c r="T218" s="16"/>
      <c r="U218" s="16"/>
      <c r="V218" s="16"/>
    </row>
    <row r="219" spans="1:22" ht="13.2">
      <c r="A219" s="12"/>
      <c r="B219" s="46"/>
      <c r="C219" s="12"/>
      <c r="D219" s="15"/>
      <c r="E219" s="15"/>
      <c r="F219" s="15"/>
      <c r="G219" s="16"/>
      <c r="H219" s="16"/>
      <c r="I219" s="16"/>
      <c r="J219" s="16"/>
      <c r="K219" s="16"/>
      <c r="L219" s="16"/>
      <c r="M219" s="15"/>
      <c r="N219" s="16"/>
      <c r="O219" s="16"/>
      <c r="P219" s="16"/>
      <c r="Q219" s="16"/>
      <c r="R219" s="16"/>
      <c r="S219" s="16"/>
      <c r="T219" s="16"/>
      <c r="U219" s="16"/>
      <c r="V219" s="16"/>
    </row>
    <row r="220" spans="1:22" ht="13.2">
      <c r="A220" s="12"/>
      <c r="B220" s="46"/>
      <c r="C220" s="12"/>
      <c r="D220" s="15"/>
      <c r="E220" s="15"/>
      <c r="F220" s="15"/>
      <c r="G220" s="16"/>
      <c r="H220" s="16"/>
      <c r="I220" s="16"/>
      <c r="J220" s="16"/>
      <c r="K220" s="16"/>
      <c r="L220" s="16"/>
      <c r="M220" s="15"/>
      <c r="N220" s="16"/>
      <c r="O220" s="16"/>
      <c r="P220" s="16"/>
      <c r="Q220" s="16"/>
      <c r="R220" s="16"/>
      <c r="S220" s="16"/>
      <c r="T220" s="16"/>
      <c r="U220" s="16"/>
      <c r="V220" s="16"/>
    </row>
    <row r="221" spans="1:22" ht="13.2">
      <c r="A221" s="12"/>
      <c r="B221" s="46"/>
      <c r="C221" s="12"/>
      <c r="D221" s="15"/>
      <c r="E221" s="15"/>
      <c r="F221" s="15"/>
      <c r="G221" s="16"/>
      <c r="H221" s="16"/>
      <c r="I221" s="16"/>
      <c r="J221" s="16"/>
      <c r="K221" s="16"/>
      <c r="L221" s="16"/>
      <c r="M221" s="15"/>
      <c r="N221" s="16"/>
      <c r="O221" s="16"/>
      <c r="P221" s="16"/>
      <c r="Q221" s="16"/>
      <c r="R221" s="16"/>
      <c r="S221" s="16"/>
      <c r="T221" s="16"/>
      <c r="U221" s="16"/>
      <c r="V221" s="16"/>
    </row>
    <row r="222" spans="1:22" ht="13.2">
      <c r="A222" s="12"/>
      <c r="B222" s="46"/>
      <c r="C222" s="12"/>
      <c r="D222" s="15"/>
      <c r="E222" s="15"/>
      <c r="F222" s="15"/>
      <c r="G222" s="16"/>
      <c r="H222" s="16"/>
      <c r="I222" s="16"/>
      <c r="J222" s="16"/>
      <c r="K222" s="16"/>
      <c r="L222" s="16"/>
      <c r="M222" s="15"/>
      <c r="N222" s="16"/>
      <c r="O222" s="16"/>
      <c r="P222" s="16"/>
      <c r="Q222" s="16"/>
      <c r="R222" s="16"/>
      <c r="S222" s="16"/>
      <c r="T222" s="16"/>
      <c r="U222" s="16"/>
      <c r="V222" s="16"/>
    </row>
    <row r="223" spans="1:22" ht="13.2">
      <c r="A223" s="12"/>
      <c r="B223" s="46"/>
      <c r="C223" s="12"/>
      <c r="D223" s="15"/>
      <c r="E223" s="15"/>
      <c r="F223" s="15"/>
      <c r="G223" s="16"/>
      <c r="H223" s="16"/>
      <c r="I223" s="16"/>
      <c r="J223" s="16"/>
      <c r="K223" s="16"/>
      <c r="L223" s="16"/>
      <c r="M223" s="15"/>
      <c r="N223" s="16"/>
      <c r="O223" s="16"/>
      <c r="P223" s="16"/>
      <c r="Q223" s="16"/>
      <c r="R223" s="16"/>
      <c r="S223" s="16"/>
      <c r="T223" s="16"/>
      <c r="U223" s="16"/>
      <c r="V223" s="16"/>
    </row>
    <row r="224" spans="1:22" ht="13.2">
      <c r="A224" s="12"/>
      <c r="B224" s="46"/>
      <c r="C224" s="12"/>
      <c r="D224" s="15"/>
      <c r="E224" s="15"/>
      <c r="F224" s="15"/>
      <c r="G224" s="16"/>
      <c r="H224" s="16"/>
      <c r="I224" s="16"/>
      <c r="J224" s="16"/>
      <c r="K224" s="16"/>
      <c r="L224" s="16"/>
      <c r="M224" s="15"/>
      <c r="N224" s="16"/>
      <c r="O224" s="16"/>
      <c r="P224" s="16"/>
      <c r="Q224" s="16"/>
      <c r="R224" s="16"/>
      <c r="S224" s="16"/>
      <c r="T224" s="16"/>
      <c r="U224" s="16"/>
      <c r="V224" s="16"/>
    </row>
    <row r="225" spans="1:22" ht="13.2">
      <c r="A225" s="12"/>
      <c r="B225" s="46"/>
      <c r="C225" s="12"/>
      <c r="D225" s="15"/>
      <c r="E225" s="15"/>
      <c r="F225" s="15"/>
      <c r="G225" s="16"/>
      <c r="H225" s="16"/>
      <c r="I225" s="16"/>
      <c r="J225" s="16"/>
      <c r="K225" s="16"/>
      <c r="L225" s="16"/>
      <c r="M225" s="15"/>
      <c r="N225" s="16"/>
      <c r="O225" s="16"/>
      <c r="P225" s="16"/>
      <c r="Q225" s="16"/>
      <c r="R225" s="16"/>
      <c r="S225" s="16"/>
      <c r="T225" s="16"/>
      <c r="U225" s="16"/>
      <c r="V225" s="16"/>
    </row>
    <row r="226" spans="1:22" ht="13.2">
      <c r="A226" s="12"/>
      <c r="B226" s="46"/>
      <c r="C226" s="12"/>
      <c r="D226" s="15"/>
      <c r="E226" s="15"/>
      <c r="F226" s="15"/>
      <c r="G226" s="16"/>
      <c r="H226" s="16"/>
      <c r="I226" s="16"/>
      <c r="J226" s="16"/>
      <c r="K226" s="16"/>
      <c r="L226" s="16"/>
      <c r="M226" s="15"/>
      <c r="N226" s="16"/>
      <c r="O226" s="16"/>
      <c r="P226" s="16"/>
      <c r="Q226" s="16"/>
      <c r="R226" s="16"/>
      <c r="S226" s="16"/>
      <c r="T226" s="16"/>
      <c r="U226" s="16"/>
      <c r="V226" s="16"/>
    </row>
    <row r="227" spans="1:22" ht="13.2">
      <c r="A227" s="12"/>
      <c r="B227" s="46"/>
      <c r="C227" s="12"/>
      <c r="D227" s="15"/>
      <c r="E227" s="15"/>
      <c r="F227" s="15"/>
      <c r="G227" s="16"/>
      <c r="H227" s="16"/>
      <c r="I227" s="16"/>
      <c r="J227" s="16"/>
      <c r="K227" s="16"/>
      <c r="L227" s="16"/>
      <c r="M227" s="15"/>
      <c r="N227" s="16"/>
      <c r="O227" s="16"/>
      <c r="P227" s="16"/>
      <c r="Q227" s="16"/>
      <c r="R227" s="16"/>
      <c r="S227" s="16"/>
      <c r="T227" s="16"/>
      <c r="U227" s="16"/>
      <c r="V227" s="16"/>
    </row>
    <row r="228" spans="1:22" ht="13.2">
      <c r="A228" s="12"/>
      <c r="B228" s="46"/>
      <c r="C228" s="12"/>
      <c r="D228" s="15"/>
      <c r="E228" s="15"/>
      <c r="F228" s="15"/>
      <c r="G228" s="16"/>
      <c r="H228" s="16"/>
      <c r="I228" s="16"/>
      <c r="J228" s="16"/>
      <c r="K228" s="16"/>
      <c r="L228" s="16"/>
      <c r="M228" s="15"/>
      <c r="N228" s="16"/>
      <c r="O228" s="16"/>
      <c r="P228" s="16"/>
      <c r="Q228" s="16"/>
      <c r="R228" s="16"/>
      <c r="S228" s="16"/>
      <c r="T228" s="16"/>
      <c r="U228" s="16"/>
      <c r="V228" s="16"/>
    </row>
    <row r="229" spans="1:22" ht="13.2">
      <c r="A229" s="12"/>
      <c r="B229" s="46"/>
      <c r="C229" s="12"/>
      <c r="D229" s="15"/>
      <c r="E229" s="15"/>
      <c r="F229" s="15"/>
      <c r="G229" s="16"/>
      <c r="H229" s="16"/>
      <c r="I229" s="16"/>
      <c r="J229" s="16"/>
      <c r="K229" s="16"/>
      <c r="L229" s="16"/>
      <c r="M229" s="15"/>
      <c r="N229" s="16"/>
      <c r="O229" s="16"/>
      <c r="P229" s="16"/>
      <c r="Q229" s="16"/>
      <c r="R229" s="16"/>
      <c r="S229" s="16"/>
      <c r="T229" s="16"/>
      <c r="U229" s="16"/>
      <c r="V229" s="16"/>
    </row>
    <row r="230" spans="1:22" ht="13.2">
      <c r="A230" s="12"/>
      <c r="B230" s="46"/>
      <c r="C230" s="12"/>
      <c r="D230" s="15"/>
      <c r="E230" s="15"/>
      <c r="F230" s="15"/>
      <c r="G230" s="16"/>
      <c r="H230" s="16"/>
      <c r="I230" s="16"/>
      <c r="J230" s="16"/>
      <c r="K230" s="16"/>
      <c r="L230" s="16"/>
      <c r="M230" s="15"/>
      <c r="N230" s="16"/>
      <c r="O230" s="16"/>
      <c r="P230" s="16"/>
      <c r="Q230" s="16"/>
      <c r="R230" s="16"/>
      <c r="S230" s="16"/>
      <c r="T230" s="16"/>
      <c r="U230" s="16"/>
      <c r="V230" s="16"/>
    </row>
    <row r="231" spans="1:22" ht="13.2">
      <c r="A231" s="12"/>
      <c r="B231" s="46"/>
      <c r="C231" s="12"/>
      <c r="D231" s="15"/>
      <c r="E231" s="15"/>
      <c r="F231" s="15"/>
      <c r="G231" s="16"/>
      <c r="H231" s="16"/>
      <c r="I231" s="16"/>
      <c r="J231" s="16"/>
      <c r="K231" s="16"/>
      <c r="L231" s="16"/>
      <c r="M231" s="15"/>
      <c r="N231" s="16"/>
      <c r="O231" s="16"/>
      <c r="P231" s="16"/>
      <c r="Q231" s="16"/>
      <c r="R231" s="16"/>
      <c r="S231" s="16"/>
      <c r="T231" s="16"/>
      <c r="U231" s="16"/>
      <c r="V231" s="16"/>
    </row>
    <row r="232" spans="1:22" ht="13.2">
      <c r="A232" s="12"/>
      <c r="B232" s="46"/>
      <c r="C232" s="12"/>
      <c r="D232" s="15"/>
      <c r="E232" s="15"/>
      <c r="F232" s="15"/>
      <c r="G232" s="16"/>
      <c r="H232" s="16"/>
      <c r="I232" s="16"/>
      <c r="J232" s="16"/>
      <c r="K232" s="16"/>
      <c r="L232" s="16"/>
      <c r="M232" s="15"/>
      <c r="N232" s="16"/>
      <c r="O232" s="16"/>
      <c r="P232" s="16"/>
      <c r="Q232" s="16"/>
      <c r="R232" s="16"/>
      <c r="S232" s="16"/>
      <c r="T232" s="16"/>
      <c r="U232" s="16"/>
      <c r="V232" s="16"/>
    </row>
    <row r="233" spans="1:22" ht="13.2">
      <c r="A233" s="12"/>
      <c r="B233" s="46"/>
      <c r="C233" s="12"/>
      <c r="D233" s="15"/>
      <c r="E233" s="15"/>
      <c r="F233" s="15"/>
      <c r="G233" s="16"/>
      <c r="H233" s="16"/>
      <c r="I233" s="16"/>
      <c r="J233" s="16"/>
      <c r="K233" s="16"/>
      <c r="L233" s="16"/>
      <c r="M233" s="15"/>
      <c r="N233" s="16"/>
      <c r="O233" s="16"/>
      <c r="P233" s="16"/>
      <c r="Q233" s="16"/>
      <c r="R233" s="16"/>
      <c r="S233" s="16"/>
      <c r="T233" s="16"/>
      <c r="U233" s="16"/>
      <c r="V233" s="16"/>
    </row>
    <row r="234" spans="1:22" ht="13.2">
      <c r="A234" s="12"/>
      <c r="B234" s="46"/>
      <c r="C234" s="12"/>
      <c r="D234" s="15"/>
      <c r="E234" s="15"/>
      <c r="F234" s="15"/>
      <c r="G234" s="16"/>
      <c r="H234" s="16"/>
      <c r="I234" s="16"/>
      <c r="J234" s="16"/>
      <c r="K234" s="16"/>
      <c r="L234" s="16"/>
      <c r="M234" s="15"/>
      <c r="N234" s="16"/>
      <c r="O234" s="16"/>
      <c r="P234" s="16"/>
      <c r="Q234" s="16"/>
      <c r="R234" s="16"/>
      <c r="S234" s="16"/>
      <c r="T234" s="16"/>
      <c r="U234" s="16"/>
      <c r="V234" s="16"/>
    </row>
    <row r="235" spans="1:22" ht="13.2">
      <c r="A235" s="12"/>
      <c r="B235" s="46"/>
      <c r="C235" s="12"/>
      <c r="D235" s="15"/>
      <c r="E235" s="15"/>
      <c r="F235" s="15"/>
      <c r="G235" s="16"/>
      <c r="H235" s="16"/>
      <c r="I235" s="16"/>
      <c r="J235" s="16"/>
      <c r="K235" s="16"/>
      <c r="L235" s="16"/>
      <c r="M235" s="15"/>
      <c r="N235" s="16"/>
      <c r="O235" s="16"/>
      <c r="P235" s="16"/>
      <c r="Q235" s="16"/>
      <c r="R235" s="16"/>
      <c r="S235" s="16"/>
      <c r="T235" s="16"/>
      <c r="U235" s="16"/>
      <c r="V235" s="16"/>
    </row>
    <row r="236" spans="1:22" ht="13.2">
      <c r="A236" s="12"/>
      <c r="B236" s="46"/>
      <c r="C236" s="12"/>
      <c r="D236" s="15"/>
      <c r="E236" s="15"/>
      <c r="F236" s="15"/>
      <c r="G236" s="16"/>
      <c r="H236" s="16"/>
      <c r="I236" s="16"/>
      <c r="J236" s="16"/>
      <c r="K236" s="16"/>
      <c r="L236" s="16"/>
      <c r="M236" s="15"/>
      <c r="N236" s="16"/>
      <c r="O236" s="16"/>
      <c r="P236" s="16"/>
      <c r="Q236" s="16"/>
      <c r="R236" s="16"/>
      <c r="S236" s="16"/>
      <c r="T236" s="16"/>
      <c r="U236" s="16"/>
      <c r="V236" s="16"/>
    </row>
    <row r="237" spans="1:22" ht="13.2">
      <c r="A237" s="12"/>
      <c r="B237" s="46"/>
      <c r="C237" s="12"/>
      <c r="D237" s="15"/>
      <c r="E237" s="15"/>
      <c r="F237" s="15"/>
      <c r="G237" s="16"/>
      <c r="H237" s="16"/>
      <c r="I237" s="16"/>
      <c r="J237" s="16"/>
      <c r="K237" s="16"/>
      <c r="L237" s="16"/>
      <c r="M237" s="15"/>
      <c r="N237" s="16"/>
      <c r="O237" s="16"/>
      <c r="P237" s="16"/>
      <c r="Q237" s="16"/>
      <c r="R237" s="16"/>
      <c r="S237" s="16"/>
      <c r="T237" s="16"/>
      <c r="U237" s="16"/>
      <c r="V237" s="16"/>
    </row>
    <row r="238" spans="1:22" ht="13.2">
      <c r="A238" s="12"/>
      <c r="B238" s="46"/>
      <c r="C238" s="12"/>
      <c r="D238" s="15"/>
      <c r="E238" s="15"/>
      <c r="F238" s="15"/>
      <c r="G238" s="16"/>
      <c r="H238" s="16"/>
      <c r="I238" s="16"/>
      <c r="J238" s="16"/>
      <c r="K238" s="16"/>
      <c r="L238" s="16"/>
      <c r="M238" s="15"/>
      <c r="N238" s="16"/>
      <c r="O238" s="16"/>
      <c r="P238" s="16"/>
      <c r="Q238" s="16"/>
      <c r="R238" s="16"/>
      <c r="S238" s="16"/>
      <c r="T238" s="16"/>
      <c r="U238" s="16"/>
      <c r="V238" s="16"/>
    </row>
    <row r="239" spans="1:22" ht="13.2">
      <c r="A239" s="12"/>
      <c r="B239" s="46"/>
      <c r="C239" s="12"/>
      <c r="D239" s="15"/>
      <c r="E239" s="15"/>
      <c r="F239" s="15"/>
      <c r="G239" s="16"/>
      <c r="H239" s="16"/>
      <c r="I239" s="16"/>
      <c r="J239" s="16"/>
      <c r="K239" s="16"/>
      <c r="L239" s="16"/>
      <c r="M239" s="15"/>
      <c r="N239" s="16"/>
      <c r="O239" s="16"/>
      <c r="P239" s="16"/>
      <c r="Q239" s="16"/>
      <c r="R239" s="16"/>
      <c r="S239" s="16"/>
      <c r="T239" s="16"/>
      <c r="U239" s="16"/>
      <c r="V239" s="16"/>
    </row>
    <row r="240" spans="1:22" ht="13.2">
      <c r="A240" s="12"/>
      <c r="B240" s="46"/>
      <c r="C240" s="12"/>
      <c r="D240" s="15"/>
      <c r="E240" s="15"/>
      <c r="F240" s="15"/>
      <c r="G240" s="16"/>
      <c r="H240" s="16"/>
      <c r="I240" s="16"/>
      <c r="J240" s="16"/>
      <c r="K240" s="16"/>
      <c r="L240" s="16"/>
      <c r="M240" s="15"/>
      <c r="N240" s="16"/>
      <c r="O240" s="16"/>
      <c r="P240" s="16"/>
      <c r="Q240" s="16"/>
      <c r="R240" s="16"/>
      <c r="S240" s="16"/>
      <c r="T240" s="16"/>
      <c r="U240" s="16"/>
      <c r="V240" s="16"/>
    </row>
    <row r="241" spans="1:22" ht="13.2">
      <c r="A241" s="12"/>
      <c r="B241" s="46"/>
      <c r="C241" s="12"/>
      <c r="D241" s="15"/>
      <c r="E241" s="15"/>
      <c r="F241" s="15"/>
      <c r="G241" s="16"/>
      <c r="H241" s="16"/>
      <c r="I241" s="16"/>
      <c r="J241" s="16"/>
      <c r="K241" s="16"/>
      <c r="L241" s="16"/>
      <c r="M241" s="15"/>
      <c r="N241" s="16"/>
      <c r="O241" s="16"/>
      <c r="P241" s="16"/>
      <c r="Q241" s="16"/>
      <c r="R241" s="16"/>
      <c r="S241" s="16"/>
      <c r="T241" s="16"/>
      <c r="U241" s="16"/>
      <c r="V241" s="16"/>
    </row>
    <row r="242" spans="1:22" ht="13.2">
      <c r="A242" s="12"/>
      <c r="B242" s="46"/>
      <c r="C242" s="12"/>
      <c r="D242" s="15"/>
      <c r="E242" s="15"/>
      <c r="F242" s="15"/>
      <c r="G242" s="16"/>
      <c r="H242" s="16"/>
      <c r="I242" s="16"/>
      <c r="J242" s="16"/>
      <c r="K242" s="16"/>
      <c r="L242" s="16"/>
      <c r="M242" s="15"/>
      <c r="N242" s="16"/>
      <c r="O242" s="16"/>
      <c r="P242" s="16"/>
      <c r="Q242" s="16"/>
      <c r="R242" s="16"/>
      <c r="S242" s="16"/>
      <c r="T242" s="16"/>
      <c r="U242" s="16"/>
      <c r="V242" s="16"/>
    </row>
    <row r="243" spans="1:22" ht="13.2">
      <c r="A243" s="12"/>
      <c r="B243" s="46"/>
      <c r="C243" s="12"/>
      <c r="D243" s="15"/>
      <c r="E243" s="15"/>
      <c r="F243" s="15"/>
      <c r="G243" s="16"/>
      <c r="H243" s="16"/>
      <c r="I243" s="16"/>
      <c r="J243" s="16"/>
      <c r="K243" s="16"/>
      <c r="L243" s="16"/>
      <c r="M243" s="15"/>
      <c r="N243" s="16"/>
      <c r="O243" s="16"/>
      <c r="P243" s="16"/>
      <c r="Q243" s="16"/>
      <c r="R243" s="16"/>
      <c r="S243" s="16"/>
      <c r="T243" s="16"/>
      <c r="U243" s="16"/>
      <c r="V243" s="16"/>
    </row>
    <row r="244" spans="1:22" ht="13.2">
      <c r="A244" s="12"/>
      <c r="B244" s="46"/>
      <c r="C244" s="12"/>
      <c r="D244" s="15"/>
      <c r="E244" s="15"/>
      <c r="F244" s="15"/>
      <c r="G244" s="16"/>
      <c r="H244" s="16"/>
      <c r="I244" s="16"/>
      <c r="J244" s="16"/>
      <c r="K244" s="16"/>
      <c r="L244" s="16"/>
      <c r="M244" s="15"/>
      <c r="N244" s="16"/>
      <c r="O244" s="16"/>
      <c r="P244" s="16"/>
      <c r="Q244" s="16"/>
      <c r="R244" s="16"/>
      <c r="S244" s="16"/>
      <c r="T244" s="16"/>
      <c r="U244" s="16"/>
      <c r="V244" s="16"/>
    </row>
    <row r="245" spans="1:22" ht="13.2">
      <c r="A245" s="12"/>
      <c r="B245" s="46"/>
      <c r="C245" s="12"/>
      <c r="D245" s="15"/>
      <c r="E245" s="15"/>
      <c r="F245" s="15"/>
      <c r="G245" s="16"/>
      <c r="H245" s="16"/>
      <c r="I245" s="16"/>
      <c r="J245" s="16"/>
      <c r="K245" s="16"/>
      <c r="L245" s="16"/>
      <c r="M245" s="15"/>
      <c r="N245" s="16"/>
      <c r="O245" s="16"/>
      <c r="P245" s="16"/>
      <c r="Q245" s="16"/>
      <c r="R245" s="16"/>
      <c r="S245" s="16"/>
      <c r="T245" s="16"/>
      <c r="U245" s="16"/>
      <c r="V245" s="16"/>
    </row>
    <row r="246" spans="1:22" ht="13.2">
      <c r="A246" s="12"/>
      <c r="B246" s="46"/>
      <c r="C246" s="12"/>
      <c r="D246" s="15"/>
      <c r="E246" s="15"/>
      <c r="F246" s="15"/>
      <c r="G246" s="16"/>
      <c r="H246" s="16"/>
      <c r="I246" s="16"/>
      <c r="J246" s="16"/>
      <c r="K246" s="16"/>
      <c r="L246" s="16"/>
      <c r="M246" s="15"/>
      <c r="N246" s="16"/>
      <c r="O246" s="16"/>
      <c r="P246" s="16"/>
      <c r="Q246" s="16"/>
      <c r="R246" s="16"/>
      <c r="S246" s="16"/>
      <c r="T246" s="16"/>
      <c r="U246" s="16"/>
      <c r="V246" s="16"/>
    </row>
    <row r="247" spans="1:22" ht="13.2">
      <c r="A247" s="12"/>
      <c r="B247" s="46"/>
      <c r="C247" s="12"/>
      <c r="D247" s="15"/>
      <c r="E247" s="15"/>
      <c r="F247" s="15"/>
      <c r="G247" s="16"/>
      <c r="H247" s="16"/>
      <c r="I247" s="16"/>
      <c r="J247" s="16"/>
      <c r="K247" s="16"/>
      <c r="L247" s="16"/>
      <c r="M247" s="15"/>
      <c r="N247" s="16"/>
      <c r="O247" s="16"/>
      <c r="P247" s="16"/>
      <c r="Q247" s="16"/>
      <c r="R247" s="16"/>
      <c r="S247" s="16"/>
      <c r="T247" s="16"/>
      <c r="U247" s="16"/>
      <c r="V247" s="16"/>
    </row>
    <row r="248" spans="1:22" ht="13.2">
      <c r="A248" s="12"/>
      <c r="B248" s="46"/>
      <c r="C248" s="12"/>
      <c r="D248" s="15"/>
      <c r="E248" s="15"/>
      <c r="F248" s="15"/>
      <c r="G248" s="16"/>
      <c r="H248" s="16"/>
      <c r="I248" s="16"/>
      <c r="J248" s="16"/>
      <c r="K248" s="16"/>
      <c r="L248" s="16"/>
      <c r="M248" s="15"/>
      <c r="N248" s="16"/>
      <c r="O248" s="16"/>
      <c r="P248" s="16"/>
      <c r="Q248" s="16"/>
      <c r="R248" s="16"/>
      <c r="S248" s="16"/>
      <c r="T248" s="16"/>
      <c r="U248" s="16"/>
      <c r="V248" s="16"/>
    </row>
    <row r="249" spans="1:22" ht="13.2">
      <c r="A249" s="12"/>
      <c r="B249" s="46"/>
      <c r="C249" s="12"/>
      <c r="D249" s="15"/>
      <c r="E249" s="15"/>
      <c r="F249" s="15"/>
      <c r="G249" s="16"/>
      <c r="H249" s="16"/>
      <c r="I249" s="16"/>
      <c r="J249" s="16"/>
      <c r="K249" s="16"/>
      <c r="L249" s="16"/>
      <c r="M249" s="15"/>
      <c r="N249" s="16"/>
      <c r="O249" s="16"/>
      <c r="P249" s="16"/>
      <c r="Q249" s="16"/>
      <c r="R249" s="16"/>
      <c r="S249" s="16"/>
      <c r="T249" s="16"/>
      <c r="U249" s="16"/>
      <c r="V249" s="16"/>
    </row>
    <row r="250" spans="1:22" ht="13.2">
      <c r="A250" s="12"/>
      <c r="B250" s="46"/>
      <c r="C250" s="12"/>
      <c r="D250" s="15"/>
      <c r="E250" s="15"/>
      <c r="F250" s="15"/>
      <c r="G250" s="16"/>
      <c r="H250" s="16"/>
      <c r="I250" s="16"/>
      <c r="J250" s="16"/>
      <c r="K250" s="16"/>
      <c r="L250" s="16"/>
      <c r="M250" s="15"/>
      <c r="N250" s="16"/>
      <c r="O250" s="16"/>
      <c r="P250" s="16"/>
      <c r="Q250" s="16"/>
      <c r="R250" s="16"/>
      <c r="S250" s="16"/>
      <c r="T250" s="16"/>
      <c r="U250" s="16"/>
      <c r="V250" s="16"/>
    </row>
    <row r="251" spans="1:22" ht="13.2">
      <c r="A251" s="12"/>
      <c r="B251" s="46"/>
      <c r="C251" s="12"/>
      <c r="D251" s="15"/>
      <c r="E251" s="15"/>
      <c r="F251" s="15"/>
      <c r="G251" s="16"/>
      <c r="H251" s="16"/>
      <c r="I251" s="16"/>
      <c r="J251" s="16"/>
      <c r="K251" s="16"/>
      <c r="L251" s="16"/>
      <c r="M251" s="15"/>
      <c r="N251" s="16"/>
      <c r="O251" s="16"/>
      <c r="P251" s="16"/>
      <c r="Q251" s="16"/>
      <c r="R251" s="16"/>
      <c r="S251" s="16"/>
      <c r="T251" s="16"/>
      <c r="U251" s="16"/>
      <c r="V251" s="16"/>
    </row>
    <row r="252" spans="1:22" ht="13.2">
      <c r="A252" s="12"/>
      <c r="B252" s="46"/>
      <c r="C252" s="12"/>
      <c r="D252" s="15"/>
      <c r="E252" s="15"/>
      <c r="F252" s="15"/>
      <c r="G252" s="16"/>
      <c r="H252" s="16"/>
      <c r="I252" s="16"/>
      <c r="J252" s="16"/>
      <c r="K252" s="16"/>
      <c r="L252" s="16"/>
      <c r="M252" s="15"/>
      <c r="N252" s="16"/>
      <c r="O252" s="16"/>
      <c r="P252" s="16"/>
      <c r="Q252" s="16"/>
      <c r="R252" s="16"/>
      <c r="S252" s="16"/>
      <c r="T252" s="16"/>
      <c r="U252" s="16"/>
      <c r="V252" s="16"/>
    </row>
    <row r="253" spans="1:22" ht="13.2">
      <c r="A253" s="12"/>
      <c r="B253" s="46"/>
      <c r="C253" s="12"/>
      <c r="D253" s="15"/>
      <c r="E253" s="15"/>
      <c r="F253" s="15"/>
      <c r="G253" s="16"/>
      <c r="H253" s="16"/>
      <c r="I253" s="16"/>
      <c r="J253" s="16"/>
      <c r="K253" s="16"/>
      <c r="L253" s="16"/>
      <c r="M253" s="15"/>
      <c r="N253" s="16"/>
      <c r="O253" s="16"/>
      <c r="P253" s="16"/>
      <c r="Q253" s="16"/>
      <c r="R253" s="16"/>
      <c r="S253" s="16"/>
      <c r="T253" s="16"/>
      <c r="U253" s="16"/>
      <c r="V253" s="16"/>
    </row>
    <row r="254" spans="1:22" ht="13.2">
      <c r="A254" s="12"/>
      <c r="B254" s="46"/>
      <c r="C254" s="12"/>
      <c r="D254" s="15"/>
      <c r="E254" s="15"/>
      <c r="F254" s="15"/>
      <c r="G254" s="16"/>
      <c r="H254" s="16"/>
      <c r="I254" s="16"/>
      <c r="J254" s="16"/>
      <c r="K254" s="16"/>
      <c r="L254" s="16"/>
      <c r="M254" s="15"/>
      <c r="N254" s="16"/>
      <c r="O254" s="16"/>
      <c r="P254" s="16"/>
      <c r="Q254" s="16"/>
      <c r="R254" s="16"/>
      <c r="S254" s="16"/>
      <c r="T254" s="16"/>
      <c r="U254" s="16"/>
      <c r="V254" s="16"/>
    </row>
    <row r="255" spans="1:22" ht="13.2">
      <c r="A255" s="12"/>
      <c r="B255" s="46"/>
      <c r="C255" s="12"/>
      <c r="D255" s="15"/>
      <c r="E255" s="15"/>
      <c r="F255" s="15"/>
      <c r="G255" s="16"/>
      <c r="H255" s="16"/>
      <c r="I255" s="16"/>
      <c r="J255" s="16"/>
      <c r="K255" s="16"/>
      <c r="L255" s="16"/>
      <c r="M255" s="15"/>
      <c r="N255" s="16"/>
      <c r="O255" s="16"/>
      <c r="P255" s="16"/>
      <c r="Q255" s="16"/>
      <c r="R255" s="16"/>
      <c r="S255" s="16"/>
      <c r="T255" s="16"/>
      <c r="U255" s="16"/>
      <c r="V255" s="16"/>
    </row>
    <row r="256" spans="1:22" ht="13.2">
      <c r="A256" s="12"/>
      <c r="B256" s="46"/>
      <c r="C256" s="12"/>
      <c r="D256" s="15"/>
      <c r="E256" s="15"/>
      <c r="F256" s="15"/>
      <c r="G256" s="16"/>
      <c r="H256" s="16"/>
      <c r="I256" s="16"/>
      <c r="J256" s="16"/>
      <c r="K256" s="16"/>
      <c r="L256" s="16"/>
      <c r="M256" s="15"/>
      <c r="N256" s="16"/>
      <c r="O256" s="16"/>
      <c r="P256" s="16"/>
      <c r="Q256" s="16"/>
      <c r="R256" s="16"/>
      <c r="S256" s="16"/>
      <c r="T256" s="16"/>
      <c r="U256" s="16"/>
      <c r="V256" s="16"/>
    </row>
    <row r="257" spans="1:22" ht="13.2">
      <c r="A257" s="12"/>
      <c r="B257" s="46"/>
      <c r="C257" s="12"/>
      <c r="D257" s="15"/>
      <c r="E257" s="15"/>
      <c r="F257" s="15"/>
      <c r="G257" s="16"/>
      <c r="H257" s="16"/>
      <c r="I257" s="16"/>
      <c r="J257" s="16"/>
      <c r="K257" s="16"/>
      <c r="L257" s="16"/>
      <c r="M257" s="15"/>
      <c r="N257" s="16"/>
      <c r="O257" s="16"/>
      <c r="P257" s="16"/>
      <c r="Q257" s="16"/>
      <c r="R257" s="16"/>
      <c r="S257" s="16"/>
      <c r="T257" s="16"/>
      <c r="U257" s="16"/>
      <c r="V257" s="16"/>
    </row>
    <row r="258" spans="1:22" ht="13.2">
      <c r="A258" s="12"/>
      <c r="B258" s="46"/>
      <c r="C258" s="12"/>
      <c r="D258" s="15"/>
      <c r="E258" s="15"/>
      <c r="F258" s="15"/>
      <c r="G258" s="16"/>
      <c r="H258" s="16"/>
      <c r="I258" s="16"/>
      <c r="J258" s="16"/>
      <c r="K258" s="16"/>
      <c r="L258" s="16"/>
      <c r="M258" s="15"/>
      <c r="N258" s="16"/>
      <c r="O258" s="16"/>
      <c r="P258" s="16"/>
      <c r="Q258" s="16"/>
      <c r="R258" s="16"/>
      <c r="S258" s="16"/>
      <c r="T258" s="16"/>
      <c r="U258" s="16"/>
      <c r="V258" s="16"/>
    </row>
    <row r="259" spans="1:22" ht="13.2">
      <c r="A259" s="12"/>
      <c r="B259" s="46"/>
      <c r="C259" s="12"/>
      <c r="D259" s="15"/>
      <c r="E259" s="15"/>
      <c r="F259" s="15"/>
      <c r="G259" s="16"/>
      <c r="H259" s="16"/>
      <c r="I259" s="16"/>
      <c r="J259" s="16"/>
      <c r="K259" s="16"/>
      <c r="L259" s="16"/>
      <c r="M259" s="15"/>
      <c r="N259" s="16"/>
      <c r="O259" s="16"/>
      <c r="P259" s="16"/>
      <c r="Q259" s="16"/>
      <c r="R259" s="16"/>
      <c r="S259" s="16"/>
      <c r="T259" s="16"/>
      <c r="U259" s="16"/>
      <c r="V259" s="16"/>
    </row>
    <row r="260" spans="1:22" ht="13.2">
      <c r="A260" s="12"/>
      <c r="B260" s="46"/>
      <c r="C260" s="12"/>
      <c r="D260" s="15"/>
      <c r="E260" s="15"/>
      <c r="F260" s="15"/>
      <c r="G260" s="16"/>
      <c r="H260" s="16"/>
      <c r="I260" s="16"/>
      <c r="J260" s="16"/>
      <c r="K260" s="16"/>
      <c r="L260" s="16"/>
      <c r="M260" s="15"/>
      <c r="N260" s="16"/>
      <c r="O260" s="16"/>
      <c r="P260" s="16"/>
      <c r="Q260" s="16"/>
      <c r="R260" s="16"/>
      <c r="S260" s="16"/>
      <c r="T260" s="16"/>
      <c r="U260" s="16"/>
      <c r="V260" s="16"/>
    </row>
    <row r="261" spans="1:22" ht="13.2">
      <c r="A261" s="12"/>
      <c r="B261" s="46"/>
      <c r="C261" s="12"/>
      <c r="D261" s="15"/>
      <c r="E261" s="15"/>
      <c r="F261" s="15"/>
      <c r="G261" s="16"/>
      <c r="H261" s="16"/>
      <c r="I261" s="16"/>
      <c r="J261" s="16"/>
      <c r="K261" s="16"/>
      <c r="L261" s="16"/>
      <c r="M261" s="15"/>
      <c r="N261" s="16"/>
      <c r="O261" s="16"/>
      <c r="P261" s="16"/>
      <c r="Q261" s="16"/>
      <c r="R261" s="16"/>
      <c r="S261" s="16"/>
      <c r="T261" s="16"/>
      <c r="U261" s="16"/>
      <c r="V261" s="16"/>
    </row>
    <row r="262" spans="1:22" ht="13.2">
      <c r="A262" s="12"/>
      <c r="B262" s="46"/>
      <c r="C262" s="12"/>
      <c r="D262" s="15"/>
      <c r="E262" s="15"/>
      <c r="F262" s="15"/>
      <c r="G262" s="16"/>
      <c r="H262" s="16"/>
      <c r="I262" s="16"/>
      <c r="J262" s="16"/>
      <c r="K262" s="16"/>
      <c r="L262" s="16"/>
      <c r="M262" s="15"/>
      <c r="N262" s="16"/>
      <c r="O262" s="16"/>
      <c r="P262" s="16"/>
      <c r="Q262" s="16"/>
      <c r="R262" s="16"/>
      <c r="S262" s="16"/>
      <c r="T262" s="16"/>
      <c r="U262" s="16"/>
      <c r="V262" s="16"/>
    </row>
    <row r="263" spans="1:22" ht="13.2">
      <c r="A263" s="12"/>
      <c r="B263" s="46"/>
      <c r="C263" s="12"/>
      <c r="D263" s="15"/>
      <c r="E263" s="15"/>
      <c r="F263" s="15"/>
      <c r="G263" s="16"/>
      <c r="H263" s="16"/>
      <c r="I263" s="16"/>
      <c r="J263" s="16"/>
      <c r="K263" s="16"/>
      <c r="L263" s="16"/>
      <c r="M263" s="15"/>
      <c r="N263" s="16"/>
      <c r="O263" s="16"/>
      <c r="P263" s="16"/>
      <c r="Q263" s="16"/>
      <c r="R263" s="16"/>
      <c r="S263" s="16"/>
      <c r="T263" s="16"/>
      <c r="U263" s="16"/>
      <c r="V263" s="16"/>
    </row>
    <row r="264" spans="1:22" ht="13.2">
      <c r="A264" s="12"/>
      <c r="B264" s="46"/>
      <c r="C264" s="12"/>
      <c r="D264" s="15"/>
      <c r="E264" s="15"/>
      <c r="F264" s="15"/>
      <c r="G264" s="16"/>
      <c r="H264" s="16"/>
      <c r="I264" s="16"/>
      <c r="J264" s="16"/>
      <c r="K264" s="16"/>
      <c r="L264" s="16"/>
      <c r="M264" s="15"/>
      <c r="N264" s="16"/>
      <c r="O264" s="16"/>
      <c r="P264" s="16"/>
      <c r="Q264" s="16"/>
      <c r="R264" s="16"/>
      <c r="S264" s="16"/>
      <c r="T264" s="16"/>
      <c r="U264" s="16"/>
      <c r="V264" s="16"/>
    </row>
    <row r="265" spans="1:22" ht="13.2">
      <c r="A265" s="12"/>
      <c r="B265" s="46"/>
      <c r="C265" s="12"/>
      <c r="D265" s="15"/>
      <c r="E265" s="15"/>
      <c r="F265" s="15"/>
      <c r="G265" s="16"/>
      <c r="H265" s="16"/>
      <c r="I265" s="16"/>
      <c r="J265" s="16"/>
      <c r="K265" s="16"/>
      <c r="L265" s="16"/>
      <c r="M265" s="15"/>
      <c r="N265" s="16"/>
      <c r="O265" s="16"/>
      <c r="P265" s="16"/>
      <c r="Q265" s="16"/>
      <c r="R265" s="16"/>
      <c r="S265" s="16"/>
      <c r="T265" s="16"/>
      <c r="U265" s="16"/>
      <c r="V265" s="16"/>
    </row>
    <row r="266" spans="1:22" ht="13.2">
      <c r="A266" s="12"/>
      <c r="B266" s="46"/>
      <c r="C266" s="12"/>
      <c r="D266" s="15"/>
      <c r="E266" s="15"/>
      <c r="F266" s="15"/>
      <c r="G266" s="16"/>
      <c r="H266" s="16"/>
      <c r="I266" s="16"/>
      <c r="J266" s="16"/>
      <c r="K266" s="16"/>
      <c r="L266" s="16"/>
      <c r="M266" s="15"/>
      <c r="N266" s="16"/>
      <c r="O266" s="16"/>
      <c r="P266" s="16"/>
      <c r="Q266" s="16"/>
      <c r="R266" s="16"/>
      <c r="S266" s="16"/>
      <c r="T266" s="16"/>
      <c r="U266" s="16"/>
      <c r="V266" s="16"/>
    </row>
    <row r="267" spans="1:22" ht="13.2">
      <c r="A267" s="12"/>
      <c r="B267" s="46"/>
      <c r="C267" s="12"/>
      <c r="D267" s="15"/>
      <c r="E267" s="15"/>
      <c r="F267" s="15"/>
      <c r="G267" s="16"/>
      <c r="H267" s="16"/>
      <c r="I267" s="16"/>
      <c r="J267" s="16"/>
      <c r="K267" s="16"/>
      <c r="L267" s="16"/>
      <c r="M267" s="15"/>
      <c r="N267" s="16"/>
      <c r="O267" s="16"/>
      <c r="P267" s="16"/>
      <c r="Q267" s="16"/>
      <c r="R267" s="16"/>
      <c r="S267" s="16"/>
      <c r="T267" s="16"/>
      <c r="U267" s="16"/>
      <c r="V267" s="16"/>
    </row>
    <row r="268" spans="1:22" ht="13.2">
      <c r="A268" s="12"/>
      <c r="B268" s="46"/>
      <c r="C268" s="12"/>
      <c r="D268" s="15"/>
      <c r="E268" s="15"/>
      <c r="F268" s="15"/>
      <c r="G268" s="16"/>
      <c r="H268" s="16"/>
      <c r="I268" s="16"/>
      <c r="J268" s="16"/>
      <c r="K268" s="16"/>
      <c r="L268" s="16"/>
      <c r="M268" s="15"/>
      <c r="N268" s="16"/>
      <c r="O268" s="16"/>
      <c r="P268" s="16"/>
      <c r="Q268" s="16"/>
      <c r="R268" s="16"/>
      <c r="S268" s="16"/>
      <c r="T268" s="16"/>
      <c r="U268" s="16"/>
      <c r="V268" s="16"/>
    </row>
    <row r="269" spans="1:22" ht="13.2">
      <c r="A269" s="12"/>
      <c r="B269" s="46"/>
      <c r="C269" s="12"/>
      <c r="D269" s="15"/>
      <c r="E269" s="15"/>
      <c r="F269" s="15"/>
      <c r="G269" s="16"/>
      <c r="H269" s="16"/>
      <c r="I269" s="16"/>
      <c r="J269" s="16"/>
      <c r="K269" s="16"/>
      <c r="L269" s="16"/>
      <c r="M269" s="15"/>
      <c r="N269" s="16"/>
      <c r="O269" s="16"/>
      <c r="P269" s="16"/>
      <c r="Q269" s="16"/>
      <c r="R269" s="16"/>
      <c r="S269" s="16"/>
      <c r="T269" s="16"/>
      <c r="U269" s="16"/>
      <c r="V269" s="16"/>
    </row>
    <row r="270" spans="1:22" ht="13.2">
      <c r="A270" s="12"/>
      <c r="B270" s="46"/>
      <c r="C270" s="12"/>
      <c r="D270" s="15"/>
      <c r="E270" s="15"/>
      <c r="F270" s="15"/>
      <c r="G270" s="16"/>
      <c r="H270" s="16"/>
      <c r="I270" s="16"/>
      <c r="J270" s="16"/>
      <c r="K270" s="16"/>
      <c r="L270" s="16"/>
      <c r="M270" s="15"/>
      <c r="N270" s="16"/>
      <c r="O270" s="16"/>
      <c r="P270" s="16"/>
      <c r="Q270" s="16"/>
      <c r="R270" s="16"/>
      <c r="S270" s="16"/>
      <c r="T270" s="16"/>
      <c r="U270" s="16"/>
      <c r="V270" s="16"/>
    </row>
    <row r="271" spans="1:22" ht="13.2">
      <c r="A271" s="12"/>
      <c r="B271" s="46"/>
      <c r="C271" s="12"/>
      <c r="D271" s="15"/>
      <c r="E271" s="15"/>
      <c r="F271" s="15"/>
      <c r="G271" s="16"/>
      <c r="H271" s="16"/>
      <c r="I271" s="16"/>
      <c r="J271" s="16"/>
      <c r="K271" s="16"/>
      <c r="L271" s="16"/>
      <c r="M271" s="15"/>
      <c r="N271" s="16"/>
      <c r="O271" s="16"/>
      <c r="P271" s="16"/>
      <c r="Q271" s="16"/>
      <c r="R271" s="16"/>
      <c r="S271" s="16"/>
      <c r="T271" s="16"/>
      <c r="U271" s="16"/>
      <c r="V271" s="16"/>
    </row>
    <row r="272" spans="1:22" ht="13.2">
      <c r="A272" s="12"/>
      <c r="B272" s="46"/>
      <c r="C272" s="12"/>
      <c r="D272" s="15"/>
      <c r="E272" s="15"/>
      <c r="F272" s="15"/>
      <c r="G272" s="16"/>
      <c r="H272" s="16"/>
      <c r="I272" s="16"/>
      <c r="J272" s="16"/>
      <c r="K272" s="16"/>
      <c r="L272" s="16"/>
      <c r="M272" s="15"/>
      <c r="N272" s="16"/>
      <c r="O272" s="16"/>
      <c r="P272" s="16"/>
      <c r="Q272" s="16"/>
      <c r="R272" s="16"/>
      <c r="S272" s="16"/>
      <c r="T272" s="16"/>
      <c r="U272" s="16"/>
      <c r="V272" s="16"/>
    </row>
    <row r="273" spans="1:22" ht="13.2">
      <c r="A273" s="12"/>
      <c r="B273" s="46"/>
      <c r="C273" s="12"/>
      <c r="D273" s="15"/>
      <c r="E273" s="15"/>
      <c r="F273" s="15"/>
      <c r="G273" s="16"/>
      <c r="H273" s="16"/>
      <c r="I273" s="16"/>
      <c r="J273" s="16"/>
      <c r="K273" s="16"/>
      <c r="L273" s="16"/>
      <c r="M273" s="15"/>
      <c r="N273" s="16"/>
      <c r="O273" s="16"/>
      <c r="P273" s="16"/>
      <c r="Q273" s="16"/>
      <c r="R273" s="16"/>
      <c r="S273" s="16"/>
      <c r="T273" s="16"/>
      <c r="U273" s="16"/>
      <c r="V273" s="16"/>
    </row>
    <row r="274" spans="1:22" ht="13.2">
      <c r="A274" s="12"/>
      <c r="B274" s="46"/>
      <c r="C274" s="12"/>
      <c r="D274" s="15"/>
      <c r="E274" s="15"/>
      <c r="F274" s="15"/>
      <c r="G274" s="16"/>
      <c r="H274" s="16"/>
      <c r="I274" s="16"/>
      <c r="J274" s="16"/>
      <c r="K274" s="16"/>
      <c r="L274" s="16"/>
      <c r="M274" s="15"/>
      <c r="N274" s="16"/>
      <c r="O274" s="16"/>
      <c r="P274" s="16"/>
      <c r="Q274" s="16"/>
      <c r="R274" s="16"/>
      <c r="S274" s="16"/>
      <c r="T274" s="16"/>
      <c r="U274" s="16"/>
      <c r="V274" s="16"/>
    </row>
    <row r="275" spans="1:22" ht="13.2">
      <c r="A275" s="12"/>
      <c r="B275" s="46"/>
      <c r="C275" s="12"/>
      <c r="D275" s="15"/>
      <c r="E275" s="15"/>
      <c r="F275" s="15"/>
      <c r="G275" s="16"/>
      <c r="H275" s="16"/>
      <c r="I275" s="16"/>
      <c r="J275" s="16"/>
      <c r="K275" s="16"/>
      <c r="L275" s="16"/>
      <c r="M275" s="15"/>
      <c r="N275" s="16"/>
      <c r="O275" s="16"/>
      <c r="P275" s="16"/>
      <c r="Q275" s="16"/>
      <c r="R275" s="16"/>
      <c r="S275" s="16"/>
      <c r="T275" s="16"/>
      <c r="U275" s="16"/>
      <c r="V275" s="16"/>
    </row>
    <row r="276" spans="1:22" ht="13.2">
      <c r="A276" s="12"/>
      <c r="B276" s="46"/>
      <c r="C276" s="12"/>
      <c r="D276" s="15"/>
      <c r="E276" s="15"/>
      <c r="F276" s="15"/>
      <c r="G276" s="16"/>
      <c r="H276" s="16"/>
      <c r="I276" s="16"/>
      <c r="J276" s="16"/>
      <c r="K276" s="16"/>
      <c r="L276" s="16"/>
      <c r="M276" s="15"/>
      <c r="N276" s="16"/>
      <c r="O276" s="16"/>
      <c r="P276" s="16"/>
      <c r="Q276" s="16"/>
      <c r="R276" s="16"/>
      <c r="S276" s="16"/>
      <c r="T276" s="16"/>
      <c r="U276" s="16"/>
      <c r="V276" s="16"/>
    </row>
    <row r="277" spans="1:22" ht="13.2">
      <c r="A277" s="12"/>
      <c r="B277" s="46"/>
      <c r="C277" s="12"/>
      <c r="D277" s="15"/>
      <c r="E277" s="15"/>
      <c r="F277" s="15"/>
      <c r="G277" s="16"/>
      <c r="H277" s="16"/>
      <c r="I277" s="16"/>
      <c r="J277" s="16"/>
      <c r="K277" s="16"/>
      <c r="L277" s="16"/>
      <c r="M277" s="15"/>
      <c r="N277" s="16"/>
      <c r="O277" s="16"/>
      <c r="P277" s="16"/>
      <c r="Q277" s="16"/>
      <c r="R277" s="16"/>
      <c r="S277" s="16"/>
      <c r="T277" s="16"/>
      <c r="U277" s="16"/>
      <c r="V277" s="16"/>
    </row>
    <row r="278" spans="1:22" ht="13.2">
      <c r="A278" s="12"/>
      <c r="B278" s="46"/>
      <c r="C278" s="12"/>
      <c r="D278" s="15"/>
      <c r="E278" s="15"/>
      <c r="F278" s="15"/>
      <c r="G278" s="16"/>
      <c r="H278" s="16"/>
      <c r="I278" s="16"/>
      <c r="J278" s="16"/>
      <c r="K278" s="16"/>
      <c r="L278" s="16"/>
      <c r="M278" s="15"/>
      <c r="N278" s="16"/>
      <c r="O278" s="16"/>
      <c r="P278" s="16"/>
      <c r="Q278" s="16"/>
      <c r="R278" s="16"/>
      <c r="S278" s="16"/>
      <c r="T278" s="16"/>
      <c r="U278" s="16"/>
      <c r="V278" s="16"/>
    </row>
    <row r="279" spans="1:22" ht="13.2">
      <c r="A279" s="12"/>
      <c r="B279" s="46"/>
      <c r="C279" s="12"/>
      <c r="D279" s="15"/>
      <c r="E279" s="15"/>
      <c r="F279" s="15"/>
      <c r="G279" s="16"/>
      <c r="H279" s="16"/>
      <c r="I279" s="16"/>
      <c r="J279" s="16"/>
      <c r="K279" s="16"/>
      <c r="L279" s="16"/>
      <c r="M279" s="15"/>
      <c r="N279" s="16"/>
      <c r="O279" s="16"/>
      <c r="P279" s="16"/>
      <c r="Q279" s="16"/>
      <c r="R279" s="16"/>
      <c r="S279" s="16"/>
      <c r="T279" s="16"/>
      <c r="U279" s="16"/>
      <c r="V279" s="16"/>
    </row>
    <row r="280" spans="1:22" ht="13.2">
      <c r="A280" s="12"/>
      <c r="B280" s="46"/>
      <c r="C280" s="12"/>
      <c r="D280" s="15"/>
      <c r="E280" s="15"/>
      <c r="F280" s="15"/>
      <c r="G280" s="16"/>
      <c r="H280" s="16"/>
      <c r="I280" s="16"/>
      <c r="J280" s="16"/>
      <c r="K280" s="16"/>
      <c r="L280" s="16"/>
      <c r="M280" s="15"/>
      <c r="N280" s="16"/>
      <c r="O280" s="16"/>
      <c r="P280" s="16"/>
      <c r="Q280" s="16"/>
      <c r="R280" s="16"/>
      <c r="S280" s="16"/>
      <c r="T280" s="16"/>
      <c r="U280" s="16"/>
      <c r="V280" s="16"/>
    </row>
    <row r="281" spans="1:22" ht="13.2">
      <c r="A281" s="12"/>
      <c r="B281" s="46"/>
      <c r="C281" s="12"/>
      <c r="D281" s="15"/>
      <c r="E281" s="15"/>
      <c r="F281" s="15"/>
      <c r="G281" s="16"/>
      <c r="H281" s="16"/>
      <c r="I281" s="16"/>
      <c r="J281" s="16"/>
      <c r="K281" s="16"/>
      <c r="L281" s="16"/>
      <c r="M281" s="15"/>
      <c r="N281" s="16"/>
      <c r="O281" s="16"/>
      <c r="P281" s="16"/>
      <c r="Q281" s="16"/>
      <c r="R281" s="16"/>
      <c r="S281" s="16"/>
      <c r="T281" s="16"/>
      <c r="U281" s="16"/>
      <c r="V281" s="16"/>
    </row>
    <row r="282" spans="1:22" ht="13.2">
      <c r="A282" s="12"/>
      <c r="B282" s="46"/>
      <c r="C282" s="12"/>
      <c r="D282" s="15"/>
      <c r="E282" s="15"/>
      <c r="F282" s="15"/>
      <c r="G282" s="16"/>
      <c r="H282" s="16"/>
      <c r="I282" s="16"/>
      <c r="J282" s="16"/>
      <c r="K282" s="16"/>
      <c r="L282" s="16"/>
      <c r="M282" s="15"/>
      <c r="N282" s="16"/>
      <c r="O282" s="16"/>
      <c r="P282" s="16"/>
      <c r="Q282" s="16"/>
      <c r="R282" s="16"/>
      <c r="S282" s="16"/>
      <c r="T282" s="16"/>
      <c r="U282" s="16"/>
      <c r="V282" s="16"/>
    </row>
    <row r="283" spans="1:22" ht="13.2">
      <c r="A283" s="12"/>
      <c r="B283" s="46"/>
      <c r="C283" s="12"/>
      <c r="D283" s="15"/>
      <c r="E283" s="15"/>
      <c r="F283" s="15"/>
      <c r="G283" s="16"/>
      <c r="H283" s="16"/>
      <c r="I283" s="16"/>
      <c r="J283" s="16"/>
      <c r="K283" s="16"/>
      <c r="L283" s="16"/>
      <c r="M283" s="15"/>
      <c r="N283" s="16"/>
      <c r="O283" s="16"/>
      <c r="P283" s="16"/>
      <c r="Q283" s="16"/>
      <c r="R283" s="16"/>
      <c r="S283" s="16"/>
      <c r="T283" s="16"/>
      <c r="U283" s="16"/>
      <c r="V283" s="16"/>
    </row>
    <row r="284" spans="1:22" ht="13.2">
      <c r="A284" s="12"/>
      <c r="B284" s="46"/>
      <c r="C284" s="12"/>
      <c r="D284" s="15"/>
      <c r="E284" s="15"/>
      <c r="F284" s="15"/>
      <c r="G284" s="16"/>
      <c r="H284" s="16"/>
      <c r="I284" s="16"/>
      <c r="J284" s="16"/>
      <c r="K284" s="16"/>
      <c r="L284" s="16"/>
      <c r="M284" s="15"/>
      <c r="N284" s="16"/>
      <c r="O284" s="16"/>
      <c r="P284" s="16"/>
      <c r="Q284" s="16"/>
      <c r="R284" s="16"/>
      <c r="S284" s="16"/>
      <c r="T284" s="16"/>
      <c r="U284" s="16"/>
      <c r="V284" s="16"/>
    </row>
    <row r="285" spans="1:22" ht="13.2">
      <c r="A285" s="12"/>
      <c r="B285" s="46"/>
      <c r="C285" s="12"/>
      <c r="D285" s="15"/>
      <c r="E285" s="15"/>
      <c r="F285" s="15"/>
      <c r="G285" s="16"/>
      <c r="H285" s="16"/>
      <c r="I285" s="16"/>
      <c r="J285" s="16"/>
      <c r="K285" s="16"/>
      <c r="L285" s="16"/>
      <c r="M285" s="15"/>
      <c r="N285" s="16"/>
      <c r="O285" s="16"/>
      <c r="P285" s="16"/>
      <c r="Q285" s="16"/>
      <c r="R285" s="16"/>
      <c r="S285" s="16"/>
      <c r="T285" s="16"/>
      <c r="U285" s="16"/>
      <c r="V285" s="16"/>
    </row>
    <row r="286" spans="1:22" ht="13.2">
      <c r="A286" s="12"/>
      <c r="B286" s="46"/>
      <c r="C286" s="12"/>
      <c r="D286" s="15"/>
      <c r="E286" s="15"/>
      <c r="F286" s="15"/>
      <c r="G286" s="16"/>
      <c r="H286" s="16"/>
      <c r="I286" s="16"/>
      <c r="J286" s="16"/>
      <c r="K286" s="16"/>
      <c r="L286" s="16"/>
      <c r="M286" s="15"/>
      <c r="N286" s="16"/>
      <c r="O286" s="16"/>
      <c r="P286" s="16"/>
      <c r="Q286" s="16"/>
      <c r="R286" s="16"/>
      <c r="S286" s="16"/>
      <c r="T286" s="16"/>
      <c r="U286" s="16"/>
      <c r="V286" s="16"/>
    </row>
    <row r="287" spans="1:22" ht="13.2">
      <c r="A287" s="12"/>
      <c r="B287" s="46"/>
      <c r="C287" s="12"/>
      <c r="D287" s="15"/>
      <c r="E287" s="15"/>
      <c r="F287" s="15"/>
      <c r="G287" s="16"/>
      <c r="H287" s="16"/>
      <c r="I287" s="16"/>
      <c r="J287" s="16"/>
      <c r="K287" s="16"/>
      <c r="L287" s="16"/>
      <c r="M287" s="15"/>
      <c r="N287" s="16"/>
      <c r="O287" s="16"/>
      <c r="P287" s="16"/>
      <c r="Q287" s="16"/>
      <c r="R287" s="16"/>
      <c r="S287" s="16"/>
      <c r="T287" s="16"/>
      <c r="U287" s="16"/>
      <c r="V287" s="16"/>
    </row>
    <row r="288" spans="1:22" ht="13.2">
      <c r="A288" s="12"/>
      <c r="B288" s="46"/>
      <c r="C288" s="12"/>
      <c r="D288" s="15"/>
      <c r="E288" s="15"/>
      <c r="F288" s="15"/>
      <c r="G288" s="16"/>
      <c r="H288" s="16"/>
      <c r="I288" s="16"/>
      <c r="J288" s="16"/>
      <c r="K288" s="16"/>
      <c r="L288" s="16"/>
      <c r="M288" s="15"/>
      <c r="N288" s="16"/>
      <c r="O288" s="16"/>
      <c r="P288" s="16"/>
      <c r="Q288" s="16"/>
      <c r="R288" s="16"/>
      <c r="S288" s="16"/>
      <c r="T288" s="16"/>
      <c r="U288" s="16"/>
      <c r="V288" s="16"/>
    </row>
    <row r="289" spans="1:22" ht="13.2">
      <c r="A289" s="12"/>
      <c r="B289" s="46"/>
      <c r="C289" s="12"/>
      <c r="D289" s="15"/>
      <c r="E289" s="15"/>
      <c r="F289" s="15"/>
      <c r="G289" s="16"/>
      <c r="H289" s="16"/>
      <c r="I289" s="16"/>
      <c r="J289" s="16"/>
      <c r="K289" s="16"/>
      <c r="L289" s="16"/>
      <c r="M289" s="15"/>
      <c r="N289" s="16"/>
      <c r="O289" s="16"/>
      <c r="P289" s="16"/>
      <c r="Q289" s="16"/>
      <c r="R289" s="16"/>
      <c r="S289" s="16"/>
      <c r="T289" s="16"/>
      <c r="U289" s="16"/>
      <c r="V289" s="16"/>
    </row>
    <row r="290" spans="1:22" ht="13.2">
      <c r="A290" s="12"/>
      <c r="B290" s="46"/>
      <c r="C290" s="12"/>
      <c r="D290" s="15"/>
      <c r="E290" s="15"/>
      <c r="F290" s="15"/>
      <c r="G290" s="16"/>
      <c r="H290" s="16"/>
      <c r="I290" s="16"/>
      <c r="J290" s="16"/>
      <c r="K290" s="16"/>
      <c r="L290" s="16"/>
      <c r="M290" s="15"/>
      <c r="N290" s="16"/>
      <c r="O290" s="16"/>
      <c r="P290" s="16"/>
      <c r="Q290" s="16"/>
      <c r="R290" s="16"/>
      <c r="S290" s="16"/>
      <c r="T290" s="16"/>
      <c r="U290" s="16"/>
      <c r="V290" s="16"/>
    </row>
    <row r="291" spans="1:22" ht="13.2">
      <c r="A291" s="12"/>
      <c r="B291" s="46"/>
      <c r="C291" s="12"/>
      <c r="D291" s="15"/>
      <c r="E291" s="15"/>
      <c r="F291" s="15"/>
      <c r="G291" s="16"/>
      <c r="H291" s="16"/>
      <c r="I291" s="16"/>
      <c r="J291" s="16"/>
      <c r="K291" s="16"/>
      <c r="L291" s="16"/>
      <c r="M291" s="15"/>
      <c r="N291" s="16"/>
      <c r="O291" s="16"/>
      <c r="P291" s="16"/>
      <c r="Q291" s="16"/>
      <c r="R291" s="16"/>
      <c r="S291" s="16"/>
      <c r="T291" s="16"/>
      <c r="U291" s="16"/>
      <c r="V291" s="16"/>
    </row>
    <row r="292" spans="1:22" ht="13.2">
      <c r="A292" s="12"/>
      <c r="B292" s="46"/>
      <c r="C292" s="12"/>
      <c r="D292" s="15"/>
      <c r="E292" s="15"/>
      <c r="F292" s="15"/>
      <c r="G292" s="16"/>
      <c r="H292" s="16"/>
      <c r="I292" s="16"/>
      <c r="J292" s="16"/>
      <c r="K292" s="16"/>
      <c r="L292" s="16"/>
      <c r="M292" s="15"/>
      <c r="N292" s="16"/>
      <c r="O292" s="16"/>
      <c r="P292" s="16"/>
      <c r="Q292" s="16"/>
      <c r="R292" s="16"/>
      <c r="S292" s="16"/>
      <c r="T292" s="16"/>
      <c r="U292" s="16"/>
      <c r="V292" s="16"/>
    </row>
    <row r="293" spans="1:22" ht="13.2">
      <c r="A293" s="12"/>
      <c r="B293" s="46"/>
      <c r="C293" s="12"/>
      <c r="D293" s="15"/>
      <c r="E293" s="15"/>
      <c r="F293" s="15"/>
      <c r="G293" s="16"/>
      <c r="H293" s="16"/>
      <c r="I293" s="16"/>
      <c r="J293" s="16"/>
      <c r="K293" s="16"/>
      <c r="L293" s="16"/>
      <c r="M293" s="15"/>
      <c r="N293" s="16"/>
      <c r="O293" s="16"/>
      <c r="P293" s="16"/>
      <c r="Q293" s="16"/>
      <c r="R293" s="16"/>
      <c r="S293" s="16"/>
      <c r="T293" s="16"/>
      <c r="U293" s="16"/>
      <c r="V293" s="16"/>
    </row>
    <row r="294" spans="1:22" ht="13.2">
      <c r="A294" s="12"/>
      <c r="B294" s="46"/>
      <c r="C294" s="12"/>
      <c r="D294" s="15"/>
      <c r="E294" s="15"/>
      <c r="F294" s="15"/>
      <c r="G294" s="16"/>
      <c r="H294" s="16"/>
      <c r="I294" s="16"/>
      <c r="J294" s="16"/>
      <c r="K294" s="16"/>
      <c r="L294" s="16"/>
      <c r="M294" s="15"/>
      <c r="N294" s="16"/>
      <c r="O294" s="16"/>
      <c r="P294" s="16"/>
      <c r="Q294" s="16"/>
      <c r="R294" s="16"/>
      <c r="S294" s="16"/>
      <c r="T294" s="16"/>
      <c r="U294" s="16"/>
      <c r="V294" s="16"/>
    </row>
    <row r="295" spans="1:22" ht="13.2">
      <c r="A295" s="12"/>
      <c r="B295" s="46"/>
      <c r="C295" s="12"/>
      <c r="D295" s="15"/>
      <c r="E295" s="15"/>
      <c r="F295" s="15"/>
      <c r="G295" s="16"/>
      <c r="H295" s="16"/>
      <c r="I295" s="16"/>
      <c r="J295" s="16"/>
      <c r="K295" s="16"/>
      <c r="L295" s="16"/>
      <c r="M295" s="15"/>
      <c r="N295" s="16"/>
      <c r="O295" s="16"/>
      <c r="P295" s="16"/>
      <c r="Q295" s="16"/>
      <c r="R295" s="16"/>
      <c r="S295" s="16"/>
      <c r="T295" s="16"/>
      <c r="U295" s="16"/>
      <c r="V295" s="16"/>
    </row>
    <row r="296" spans="1:22" ht="13.2">
      <c r="A296" s="12"/>
      <c r="B296" s="46"/>
      <c r="C296" s="12"/>
      <c r="D296" s="15"/>
      <c r="E296" s="15"/>
      <c r="F296" s="15"/>
      <c r="G296" s="16"/>
      <c r="H296" s="16"/>
      <c r="I296" s="16"/>
      <c r="J296" s="16"/>
      <c r="K296" s="16"/>
      <c r="L296" s="16"/>
      <c r="M296" s="15"/>
      <c r="N296" s="16"/>
      <c r="O296" s="16"/>
      <c r="P296" s="16"/>
      <c r="Q296" s="16"/>
      <c r="R296" s="16"/>
      <c r="S296" s="16"/>
      <c r="T296" s="16"/>
      <c r="U296" s="16"/>
      <c r="V296" s="16"/>
    </row>
    <row r="297" spans="1:22" ht="13.2">
      <c r="A297" s="12"/>
      <c r="B297" s="46"/>
      <c r="C297" s="12"/>
      <c r="D297" s="15"/>
      <c r="E297" s="15"/>
      <c r="F297" s="15"/>
      <c r="G297" s="16"/>
      <c r="H297" s="16"/>
      <c r="I297" s="16"/>
      <c r="J297" s="16"/>
      <c r="K297" s="16"/>
      <c r="L297" s="16"/>
      <c r="M297" s="15"/>
      <c r="N297" s="16"/>
      <c r="O297" s="16"/>
      <c r="P297" s="16"/>
      <c r="Q297" s="16"/>
      <c r="R297" s="16"/>
      <c r="S297" s="16"/>
      <c r="T297" s="16"/>
      <c r="U297" s="16"/>
      <c r="V297" s="16"/>
    </row>
    <row r="298" spans="1:22" ht="13.2">
      <c r="A298" s="12"/>
      <c r="B298" s="46"/>
      <c r="C298" s="12"/>
      <c r="D298" s="15"/>
      <c r="E298" s="15"/>
      <c r="F298" s="15"/>
      <c r="G298" s="16"/>
      <c r="H298" s="16"/>
      <c r="I298" s="16"/>
      <c r="J298" s="16"/>
      <c r="K298" s="16"/>
      <c r="L298" s="16"/>
      <c r="M298" s="15"/>
      <c r="N298" s="16"/>
      <c r="O298" s="16"/>
      <c r="P298" s="16"/>
      <c r="Q298" s="16"/>
      <c r="R298" s="16"/>
      <c r="S298" s="16"/>
      <c r="T298" s="16"/>
      <c r="U298" s="16"/>
      <c r="V298" s="16"/>
    </row>
    <row r="299" spans="1:22" ht="13.2">
      <c r="A299" s="12"/>
      <c r="B299" s="46"/>
      <c r="C299" s="12"/>
      <c r="D299" s="15"/>
      <c r="E299" s="15"/>
      <c r="F299" s="15"/>
      <c r="G299" s="16"/>
      <c r="H299" s="16"/>
      <c r="I299" s="16"/>
      <c r="J299" s="16"/>
      <c r="K299" s="16"/>
      <c r="L299" s="16"/>
      <c r="M299" s="15"/>
      <c r="N299" s="16"/>
      <c r="O299" s="16"/>
      <c r="P299" s="16"/>
      <c r="Q299" s="16"/>
      <c r="R299" s="16"/>
      <c r="S299" s="16"/>
      <c r="T299" s="16"/>
      <c r="U299" s="16"/>
      <c r="V299" s="16"/>
    </row>
    <row r="300" spans="1:22" ht="13.2">
      <c r="A300" s="12"/>
      <c r="B300" s="46"/>
      <c r="C300" s="12"/>
      <c r="D300" s="15"/>
      <c r="E300" s="15"/>
      <c r="F300" s="15"/>
      <c r="G300" s="16"/>
      <c r="H300" s="16"/>
      <c r="I300" s="16"/>
      <c r="J300" s="16"/>
      <c r="K300" s="16"/>
      <c r="L300" s="16"/>
      <c r="M300" s="15"/>
      <c r="N300" s="16"/>
      <c r="O300" s="16"/>
      <c r="P300" s="16"/>
      <c r="Q300" s="16"/>
      <c r="R300" s="16"/>
      <c r="S300" s="16"/>
      <c r="T300" s="16"/>
      <c r="U300" s="16"/>
      <c r="V300" s="16"/>
    </row>
    <row r="301" spans="1:22" ht="13.2">
      <c r="A301" s="12"/>
      <c r="B301" s="46"/>
      <c r="C301" s="12"/>
      <c r="D301" s="15"/>
      <c r="E301" s="15"/>
      <c r="F301" s="15"/>
      <c r="G301" s="16"/>
      <c r="H301" s="16"/>
      <c r="I301" s="16"/>
      <c r="J301" s="16"/>
      <c r="K301" s="16"/>
      <c r="L301" s="16"/>
      <c r="M301" s="15"/>
      <c r="N301" s="16"/>
      <c r="O301" s="16"/>
      <c r="P301" s="16"/>
      <c r="Q301" s="16"/>
      <c r="R301" s="16"/>
      <c r="S301" s="16"/>
      <c r="T301" s="16"/>
      <c r="U301" s="16"/>
      <c r="V301" s="16"/>
    </row>
    <row r="302" spans="1:22" ht="13.2">
      <c r="A302" s="12"/>
      <c r="B302" s="46"/>
      <c r="C302" s="12"/>
      <c r="D302" s="15"/>
      <c r="E302" s="15"/>
      <c r="F302" s="15"/>
      <c r="G302" s="16"/>
      <c r="H302" s="16"/>
      <c r="I302" s="16"/>
      <c r="J302" s="16"/>
      <c r="K302" s="16"/>
      <c r="L302" s="16"/>
      <c r="M302" s="15"/>
      <c r="N302" s="16"/>
      <c r="O302" s="16"/>
      <c r="P302" s="16"/>
      <c r="Q302" s="16"/>
      <c r="R302" s="16"/>
      <c r="S302" s="16"/>
      <c r="T302" s="16"/>
      <c r="U302" s="16"/>
      <c r="V302" s="16"/>
    </row>
    <row r="303" spans="1:22" ht="13.2">
      <c r="A303" s="12"/>
      <c r="B303" s="46"/>
      <c r="C303" s="12"/>
      <c r="D303" s="15"/>
      <c r="E303" s="15"/>
      <c r="F303" s="15"/>
      <c r="G303" s="16"/>
      <c r="H303" s="16"/>
      <c r="I303" s="16"/>
      <c r="J303" s="16"/>
      <c r="K303" s="16"/>
      <c r="L303" s="16"/>
      <c r="M303" s="15"/>
      <c r="N303" s="16"/>
      <c r="O303" s="16"/>
      <c r="P303" s="16"/>
      <c r="Q303" s="16"/>
      <c r="R303" s="16"/>
      <c r="S303" s="16"/>
      <c r="T303" s="16"/>
      <c r="U303" s="16"/>
      <c r="V303" s="16"/>
    </row>
    <row r="304" spans="1:22" ht="13.2">
      <c r="A304" s="12"/>
      <c r="B304" s="46"/>
      <c r="C304" s="12"/>
      <c r="D304" s="15"/>
      <c r="E304" s="15"/>
      <c r="F304" s="15"/>
      <c r="G304" s="16"/>
      <c r="H304" s="16"/>
      <c r="I304" s="16"/>
      <c r="J304" s="16"/>
      <c r="K304" s="16"/>
      <c r="L304" s="16"/>
      <c r="M304" s="15"/>
      <c r="N304" s="16"/>
      <c r="O304" s="16"/>
      <c r="P304" s="16"/>
      <c r="Q304" s="16"/>
      <c r="R304" s="16"/>
      <c r="S304" s="16"/>
      <c r="T304" s="16"/>
      <c r="U304" s="16"/>
      <c r="V304" s="16"/>
    </row>
    <row r="305" spans="1:22" ht="13.2">
      <c r="A305" s="12"/>
      <c r="B305" s="46"/>
      <c r="C305" s="12"/>
      <c r="D305" s="15"/>
      <c r="E305" s="15"/>
      <c r="F305" s="15"/>
      <c r="G305" s="16"/>
      <c r="H305" s="16"/>
      <c r="I305" s="16"/>
      <c r="J305" s="16"/>
      <c r="K305" s="16"/>
      <c r="L305" s="16"/>
      <c r="M305" s="15"/>
      <c r="N305" s="16"/>
      <c r="O305" s="16"/>
      <c r="P305" s="16"/>
      <c r="Q305" s="16"/>
      <c r="R305" s="16"/>
      <c r="S305" s="16"/>
      <c r="T305" s="16"/>
      <c r="U305" s="16"/>
      <c r="V305" s="16"/>
    </row>
    <row r="306" spans="1:22" ht="13.2">
      <c r="A306" s="12"/>
      <c r="B306" s="46"/>
      <c r="C306" s="12"/>
      <c r="D306" s="15"/>
      <c r="E306" s="15"/>
      <c r="F306" s="15"/>
      <c r="G306" s="16"/>
      <c r="H306" s="16"/>
      <c r="I306" s="16"/>
      <c r="J306" s="16"/>
      <c r="K306" s="16"/>
      <c r="L306" s="16"/>
      <c r="M306" s="15"/>
      <c r="N306" s="16"/>
      <c r="O306" s="16"/>
      <c r="P306" s="16"/>
      <c r="Q306" s="16"/>
      <c r="R306" s="16"/>
      <c r="S306" s="16"/>
      <c r="T306" s="16"/>
      <c r="U306" s="16"/>
      <c r="V306" s="16"/>
    </row>
    <row r="307" spans="1:22" ht="13.2">
      <c r="A307" s="12"/>
      <c r="B307" s="46"/>
      <c r="C307" s="12"/>
      <c r="D307" s="15"/>
      <c r="E307" s="15"/>
      <c r="F307" s="15"/>
      <c r="G307" s="16"/>
      <c r="H307" s="16"/>
      <c r="I307" s="16"/>
      <c r="J307" s="16"/>
      <c r="K307" s="16"/>
      <c r="L307" s="16"/>
      <c r="M307" s="15"/>
      <c r="N307" s="16"/>
      <c r="O307" s="16"/>
      <c r="P307" s="16"/>
      <c r="Q307" s="16"/>
      <c r="R307" s="16"/>
      <c r="S307" s="16"/>
      <c r="T307" s="16"/>
      <c r="U307" s="16"/>
      <c r="V307" s="16"/>
    </row>
    <row r="308" spans="1:22" ht="13.2">
      <c r="A308" s="12"/>
      <c r="B308" s="46"/>
      <c r="C308" s="12"/>
      <c r="D308" s="15"/>
      <c r="E308" s="15"/>
      <c r="F308" s="15"/>
      <c r="G308" s="16"/>
      <c r="H308" s="16"/>
      <c r="I308" s="16"/>
      <c r="J308" s="16"/>
      <c r="K308" s="16"/>
      <c r="L308" s="16"/>
      <c r="M308" s="15"/>
      <c r="N308" s="16"/>
      <c r="O308" s="16"/>
      <c r="P308" s="16"/>
      <c r="Q308" s="16"/>
      <c r="R308" s="16"/>
      <c r="S308" s="16"/>
      <c r="T308" s="16"/>
      <c r="U308" s="16"/>
      <c r="V308" s="16"/>
    </row>
    <row r="309" spans="1:22" ht="13.2">
      <c r="A309" s="12"/>
      <c r="B309" s="46"/>
      <c r="C309" s="12"/>
      <c r="D309" s="15"/>
      <c r="E309" s="15"/>
      <c r="F309" s="15"/>
      <c r="G309" s="16"/>
      <c r="H309" s="16"/>
      <c r="I309" s="16"/>
      <c r="J309" s="16"/>
      <c r="K309" s="16"/>
      <c r="L309" s="16"/>
      <c r="M309" s="15"/>
      <c r="N309" s="16"/>
      <c r="O309" s="16"/>
      <c r="P309" s="16"/>
      <c r="Q309" s="16"/>
      <c r="R309" s="16"/>
      <c r="S309" s="16"/>
      <c r="T309" s="16"/>
      <c r="U309" s="16"/>
      <c r="V309" s="16"/>
    </row>
    <row r="310" spans="1:22" ht="13.2">
      <c r="A310" s="12"/>
      <c r="B310" s="46"/>
      <c r="C310" s="12"/>
      <c r="D310" s="15"/>
      <c r="E310" s="15"/>
      <c r="F310" s="15"/>
      <c r="G310" s="16"/>
      <c r="H310" s="16"/>
      <c r="I310" s="16"/>
      <c r="J310" s="16"/>
      <c r="K310" s="16"/>
      <c r="L310" s="16"/>
      <c r="M310" s="15"/>
      <c r="N310" s="16"/>
      <c r="O310" s="16"/>
      <c r="P310" s="16"/>
      <c r="Q310" s="16"/>
      <c r="R310" s="16"/>
      <c r="S310" s="16"/>
      <c r="T310" s="16"/>
      <c r="U310" s="16"/>
      <c r="V310" s="16"/>
    </row>
    <row r="311" spans="1:22" ht="13.2">
      <c r="A311" s="12"/>
      <c r="B311" s="46"/>
      <c r="C311" s="12"/>
      <c r="D311" s="15"/>
      <c r="E311" s="15"/>
      <c r="F311" s="15"/>
      <c r="G311" s="16"/>
      <c r="H311" s="16"/>
      <c r="I311" s="16"/>
      <c r="J311" s="16"/>
      <c r="K311" s="16"/>
      <c r="L311" s="16"/>
      <c r="M311" s="15"/>
      <c r="N311" s="16"/>
      <c r="O311" s="16"/>
      <c r="P311" s="16"/>
      <c r="Q311" s="16"/>
      <c r="R311" s="16"/>
      <c r="S311" s="16"/>
      <c r="T311" s="16"/>
      <c r="U311" s="16"/>
      <c r="V311" s="16"/>
    </row>
    <row r="312" spans="1:22" ht="13.2">
      <c r="A312" s="12"/>
      <c r="B312" s="46"/>
      <c r="C312" s="12"/>
      <c r="D312" s="15"/>
      <c r="E312" s="15"/>
      <c r="F312" s="15"/>
      <c r="G312" s="16"/>
      <c r="H312" s="16"/>
      <c r="I312" s="16"/>
      <c r="J312" s="16"/>
      <c r="K312" s="16"/>
      <c r="L312" s="16"/>
      <c r="M312" s="15"/>
      <c r="N312" s="16"/>
      <c r="O312" s="16"/>
      <c r="P312" s="16"/>
      <c r="Q312" s="16"/>
      <c r="R312" s="16"/>
      <c r="S312" s="16"/>
      <c r="T312" s="16"/>
      <c r="U312" s="16"/>
      <c r="V312" s="16"/>
    </row>
    <row r="313" spans="1:22" ht="13.2">
      <c r="A313" s="12"/>
      <c r="B313" s="46"/>
      <c r="C313" s="12"/>
      <c r="D313" s="15"/>
      <c r="E313" s="15"/>
      <c r="F313" s="15"/>
      <c r="G313" s="16"/>
      <c r="H313" s="16"/>
      <c r="I313" s="16"/>
      <c r="J313" s="16"/>
      <c r="K313" s="16"/>
      <c r="L313" s="16"/>
      <c r="M313" s="15"/>
      <c r="N313" s="16"/>
      <c r="O313" s="16"/>
      <c r="P313" s="16"/>
      <c r="Q313" s="16"/>
      <c r="R313" s="16"/>
      <c r="S313" s="16"/>
      <c r="T313" s="16"/>
      <c r="U313" s="16"/>
      <c r="V313" s="16"/>
    </row>
    <row r="314" spans="1:22" ht="13.2">
      <c r="A314" s="12"/>
      <c r="B314" s="46"/>
      <c r="C314" s="12"/>
      <c r="D314" s="15"/>
      <c r="E314" s="15"/>
      <c r="F314" s="15"/>
      <c r="G314" s="16"/>
      <c r="H314" s="16"/>
      <c r="I314" s="16"/>
      <c r="J314" s="16"/>
      <c r="K314" s="16"/>
      <c r="L314" s="16"/>
      <c r="M314" s="15"/>
      <c r="N314" s="16"/>
      <c r="O314" s="16"/>
      <c r="P314" s="16"/>
      <c r="Q314" s="16"/>
      <c r="R314" s="16"/>
      <c r="S314" s="16"/>
      <c r="T314" s="16"/>
      <c r="U314" s="16"/>
      <c r="V314" s="16"/>
    </row>
    <row r="315" spans="1:22" ht="13.2">
      <c r="A315" s="12"/>
      <c r="B315" s="46"/>
      <c r="C315" s="12"/>
      <c r="D315" s="15"/>
      <c r="E315" s="15"/>
      <c r="F315" s="15"/>
      <c r="G315" s="16"/>
      <c r="H315" s="16"/>
      <c r="I315" s="16"/>
      <c r="J315" s="16"/>
      <c r="K315" s="16"/>
      <c r="L315" s="16"/>
      <c r="M315" s="15"/>
      <c r="N315" s="16"/>
      <c r="O315" s="16"/>
      <c r="P315" s="16"/>
      <c r="Q315" s="16"/>
      <c r="R315" s="16"/>
      <c r="S315" s="16"/>
      <c r="T315" s="16"/>
      <c r="U315" s="16"/>
      <c r="V315" s="16"/>
    </row>
    <row r="316" spans="1:22" ht="13.2">
      <c r="A316" s="12"/>
      <c r="B316" s="46"/>
      <c r="C316" s="12"/>
      <c r="D316" s="15"/>
      <c r="E316" s="15"/>
      <c r="F316" s="15"/>
      <c r="G316" s="16"/>
      <c r="H316" s="16"/>
      <c r="I316" s="16"/>
      <c r="J316" s="16"/>
      <c r="K316" s="16"/>
      <c r="L316" s="16"/>
      <c r="M316" s="15"/>
      <c r="N316" s="16"/>
      <c r="O316" s="16"/>
      <c r="P316" s="16"/>
      <c r="Q316" s="16"/>
      <c r="R316" s="16"/>
      <c r="S316" s="16"/>
      <c r="T316" s="16"/>
      <c r="U316" s="16"/>
      <c r="V316" s="16"/>
    </row>
    <row r="317" spans="1:22" ht="13.2">
      <c r="A317" s="12"/>
      <c r="B317" s="46"/>
      <c r="C317" s="12"/>
      <c r="D317" s="15"/>
      <c r="E317" s="15"/>
      <c r="F317" s="15"/>
      <c r="G317" s="16"/>
      <c r="H317" s="16"/>
      <c r="I317" s="16"/>
      <c r="J317" s="16"/>
      <c r="K317" s="16"/>
      <c r="L317" s="16"/>
      <c r="M317" s="15"/>
      <c r="N317" s="16"/>
      <c r="O317" s="16"/>
      <c r="P317" s="16"/>
      <c r="Q317" s="16"/>
      <c r="R317" s="16"/>
      <c r="S317" s="16"/>
      <c r="T317" s="16"/>
      <c r="U317" s="16"/>
      <c r="V317" s="16"/>
    </row>
    <row r="318" spans="1:22" ht="13.2">
      <c r="A318" s="12"/>
      <c r="B318" s="46"/>
      <c r="C318" s="12"/>
      <c r="D318" s="15"/>
      <c r="E318" s="15"/>
      <c r="F318" s="15"/>
      <c r="G318" s="16"/>
      <c r="H318" s="16"/>
      <c r="I318" s="16"/>
      <c r="J318" s="16"/>
      <c r="K318" s="16"/>
      <c r="L318" s="16"/>
      <c r="M318" s="15"/>
      <c r="N318" s="16"/>
      <c r="O318" s="16"/>
      <c r="P318" s="16"/>
      <c r="Q318" s="16"/>
      <c r="R318" s="16"/>
      <c r="S318" s="16"/>
      <c r="T318" s="16"/>
      <c r="U318" s="16"/>
      <c r="V318" s="16"/>
    </row>
    <row r="319" spans="1:22" ht="13.2">
      <c r="A319" s="12"/>
      <c r="B319" s="46"/>
      <c r="C319" s="12"/>
      <c r="D319" s="15"/>
      <c r="E319" s="15"/>
      <c r="F319" s="15"/>
      <c r="G319" s="16"/>
      <c r="H319" s="16"/>
      <c r="I319" s="16"/>
      <c r="J319" s="16"/>
      <c r="K319" s="16"/>
      <c r="L319" s="16"/>
      <c r="M319" s="15"/>
      <c r="N319" s="16"/>
      <c r="O319" s="16"/>
      <c r="P319" s="16"/>
      <c r="Q319" s="16"/>
      <c r="R319" s="16"/>
      <c r="S319" s="16"/>
      <c r="T319" s="16"/>
      <c r="U319" s="16"/>
      <c r="V319" s="16"/>
    </row>
    <row r="320" spans="1:22" ht="13.2">
      <c r="A320" s="12"/>
      <c r="B320" s="46"/>
      <c r="C320" s="12"/>
      <c r="D320" s="15"/>
      <c r="E320" s="15"/>
      <c r="F320" s="15"/>
      <c r="G320" s="16"/>
      <c r="H320" s="16"/>
      <c r="I320" s="16"/>
      <c r="J320" s="16"/>
      <c r="K320" s="16"/>
      <c r="L320" s="16"/>
      <c r="M320" s="15"/>
      <c r="N320" s="16"/>
      <c r="O320" s="16"/>
      <c r="P320" s="16"/>
      <c r="Q320" s="16"/>
      <c r="R320" s="16"/>
      <c r="S320" s="16"/>
      <c r="T320" s="16"/>
      <c r="U320" s="16"/>
      <c r="V320" s="16"/>
    </row>
    <row r="321" spans="1:22" ht="13.2">
      <c r="A321" s="12"/>
      <c r="B321" s="46"/>
      <c r="C321" s="12"/>
      <c r="D321" s="15"/>
      <c r="E321" s="15"/>
      <c r="F321" s="15"/>
      <c r="G321" s="16"/>
      <c r="H321" s="16"/>
      <c r="I321" s="16"/>
      <c r="J321" s="16"/>
      <c r="K321" s="16"/>
      <c r="L321" s="16"/>
      <c r="M321" s="15"/>
      <c r="N321" s="16"/>
      <c r="O321" s="16"/>
      <c r="P321" s="16"/>
      <c r="Q321" s="16"/>
      <c r="R321" s="16"/>
      <c r="S321" s="16"/>
      <c r="T321" s="16"/>
      <c r="U321" s="16"/>
      <c r="V321" s="16"/>
    </row>
    <row r="322" spans="1:22" ht="13.2">
      <c r="A322" s="12"/>
      <c r="B322" s="46"/>
      <c r="C322" s="12"/>
      <c r="D322" s="15"/>
      <c r="E322" s="15"/>
      <c r="F322" s="15"/>
      <c r="G322" s="16"/>
      <c r="H322" s="16"/>
      <c r="I322" s="16"/>
      <c r="J322" s="16"/>
      <c r="K322" s="16"/>
      <c r="L322" s="16"/>
      <c r="M322" s="15"/>
      <c r="N322" s="16"/>
      <c r="O322" s="16"/>
      <c r="P322" s="16"/>
      <c r="Q322" s="16"/>
      <c r="R322" s="16"/>
      <c r="S322" s="16"/>
      <c r="T322" s="16"/>
      <c r="U322" s="16"/>
      <c r="V322" s="16"/>
    </row>
    <row r="323" spans="1:22" ht="13.2">
      <c r="A323" s="12"/>
      <c r="B323" s="46"/>
      <c r="C323" s="12"/>
      <c r="D323" s="15"/>
      <c r="E323" s="15"/>
      <c r="F323" s="15"/>
      <c r="G323" s="16"/>
      <c r="H323" s="16"/>
      <c r="I323" s="16"/>
      <c r="J323" s="16"/>
      <c r="K323" s="16"/>
      <c r="L323" s="16"/>
      <c r="M323" s="15"/>
      <c r="N323" s="16"/>
      <c r="O323" s="16"/>
      <c r="P323" s="16"/>
      <c r="Q323" s="16"/>
      <c r="R323" s="16"/>
      <c r="S323" s="16"/>
      <c r="T323" s="16"/>
      <c r="U323" s="16"/>
      <c r="V323" s="16"/>
    </row>
    <row r="324" spans="1:22" ht="13.2">
      <c r="A324" s="12"/>
      <c r="B324" s="46"/>
      <c r="C324" s="12"/>
      <c r="D324" s="15"/>
      <c r="E324" s="15"/>
      <c r="F324" s="15"/>
      <c r="G324" s="16"/>
      <c r="H324" s="16"/>
      <c r="I324" s="16"/>
      <c r="J324" s="16"/>
      <c r="K324" s="16"/>
      <c r="L324" s="16"/>
      <c r="M324" s="15"/>
      <c r="N324" s="16"/>
      <c r="O324" s="16"/>
      <c r="P324" s="16"/>
      <c r="Q324" s="16"/>
      <c r="R324" s="16"/>
      <c r="S324" s="16"/>
      <c r="T324" s="16"/>
      <c r="U324" s="16"/>
      <c r="V324" s="16"/>
    </row>
    <row r="325" spans="1:22" ht="13.2">
      <c r="A325" s="12"/>
      <c r="B325" s="46"/>
      <c r="C325" s="12"/>
      <c r="D325" s="15"/>
      <c r="E325" s="15"/>
      <c r="F325" s="15"/>
      <c r="G325" s="16"/>
      <c r="H325" s="16"/>
      <c r="I325" s="16"/>
      <c r="J325" s="16"/>
      <c r="K325" s="16"/>
      <c r="L325" s="16"/>
      <c r="M325" s="15"/>
      <c r="N325" s="16"/>
      <c r="O325" s="16"/>
      <c r="P325" s="16"/>
      <c r="Q325" s="16"/>
      <c r="R325" s="16"/>
      <c r="S325" s="16"/>
      <c r="T325" s="16"/>
      <c r="U325" s="16"/>
      <c r="V325" s="16"/>
    </row>
    <row r="326" spans="1:22" ht="13.2">
      <c r="A326" s="12"/>
      <c r="B326" s="46"/>
      <c r="C326" s="12"/>
      <c r="D326" s="15"/>
      <c r="E326" s="15"/>
      <c r="F326" s="15"/>
      <c r="G326" s="16"/>
      <c r="H326" s="16"/>
      <c r="I326" s="16"/>
      <c r="J326" s="16"/>
      <c r="K326" s="16"/>
      <c r="L326" s="16"/>
      <c r="M326" s="15"/>
      <c r="N326" s="16"/>
      <c r="O326" s="16"/>
      <c r="P326" s="16"/>
      <c r="Q326" s="16"/>
      <c r="R326" s="16"/>
      <c r="S326" s="16"/>
      <c r="T326" s="16"/>
      <c r="U326" s="16"/>
      <c r="V326" s="16"/>
    </row>
    <row r="327" spans="1:22" ht="13.2">
      <c r="A327" s="12"/>
      <c r="B327" s="46"/>
      <c r="C327" s="12"/>
      <c r="D327" s="15"/>
      <c r="E327" s="15"/>
      <c r="F327" s="15"/>
      <c r="G327" s="16"/>
      <c r="H327" s="16"/>
      <c r="I327" s="16"/>
      <c r="J327" s="16"/>
      <c r="K327" s="16"/>
      <c r="L327" s="16"/>
      <c r="M327" s="15"/>
      <c r="N327" s="16"/>
      <c r="O327" s="16"/>
      <c r="P327" s="16"/>
      <c r="Q327" s="16"/>
      <c r="R327" s="16"/>
      <c r="S327" s="16"/>
      <c r="T327" s="16"/>
      <c r="U327" s="16"/>
      <c r="V327" s="16"/>
    </row>
    <row r="328" spans="1:22" ht="13.2">
      <c r="A328" s="12"/>
      <c r="B328" s="46"/>
      <c r="C328" s="12"/>
      <c r="D328" s="15"/>
      <c r="E328" s="15"/>
      <c r="F328" s="15"/>
      <c r="G328" s="16"/>
      <c r="H328" s="16"/>
      <c r="I328" s="16"/>
      <c r="J328" s="16"/>
      <c r="K328" s="16"/>
      <c r="L328" s="16"/>
      <c r="M328" s="15"/>
      <c r="N328" s="16"/>
      <c r="O328" s="16"/>
      <c r="P328" s="16"/>
      <c r="Q328" s="16"/>
      <c r="R328" s="16"/>
      <c r="S328" s="16"/>
      <c r="T328" s="16"/>
      <c r="U328" s="16"/>
      <c r="V328" s="16"/>
    </row>
    <row r="329" spans="1:22" ht="13.2">
      <c r="A329" s="12"/>
      <c r="B329" s="46"/>
      <c r="C329" s="12"/>
      <c r="D329" s="15"/>
      <c r="E329" s="15"/>
      <c r="F329" s="15"/>
      <c r="G329" s="16"/>
      <c r="H329" s="16"/>
      <c r="I329" s="16"/>
      <c r="J329" s="16"/>
      <c r="K329" s="16"/>
      <c r="L329" s="16"/>
      <c r="M329" s="15"/>
      <c r="N329" s="16"/>
      <c r="O329" s="16"/>
      <c r="P329" s="16"/>
      <c r="Q329" s="16"/>
      <c r="R329" s="16"/>
      <c r="S329" s="16"/>
      <c r="T329" s="16"/>
      <c r="U329" s="16"/>
      <c r="V329" s="16"/>
    </row>
    <row r="330" spans="1:22" ht="13.2">
      <c r="A330" s="12"/>
      <c r="B330" s="46"/>
      <c r="C330" s="12"/>
      <c r="D330" s="15"/>
      <c r="E330" s="15"/>
      <c r="F330" s="15"/>
      <c r="G330" s="16"/>
      <c r="H330" s="16"/>
      <c r="I330" s="16"/>
      <c r="J330" s="16"/>
      <c r="K330" s="16"/>
      <c r="L330" s="16"/>
      <c r="M330" s="15"/>
      <c r="N330" s="16"/>
      <c r="O330" s="16"/>
      <c r="P330" s="16"/>
      <c r="Q330" s="16"/>
      <c r="R330" s="16"/>
      <c r="S330" s="16"/>
      <c r="T330" s="16"/>
      <c r="U330" s="16"/>
      <c r="V330" s="16"/>
    </row>
    <row r="331" spans="1:22" ht="13.2">
      <c r="A331" s="12"/>
      <c r="B331" s="46"/>
      <c r="C331" s="12"/>
      <c r="D331" s="15"/>
      <c r="E331" s="15"/>
      <c r="F331" s="15"/>
      <c r="G331" s="16"/>
      <c r="H331" s="16"/>
      <c r="I331" s="16"/>
      <c r="J331" s="16"/>
      <c r="K331" s="16"/>
      <c r="L331" s="16"/>
      <c r="M331" s="15"/>
      <c r="N331" s="16"/>
      <c r="O331" s="16"/>
      <c r="P331" s="16"/>
      <c r="Q331" s="16"/>
      <c r="R331" s="16"/>
      <c r="S331" s="16"/>
      <c r="T331" s="16"/>
      <c r="U331" s="16"/>
      <c r="V331" s="16"/>
    </row>
    <row r="332" spans="1:22" ht="13.2">
      <c r="A332" s="12"/>
      <c r="B332" s="46"/>
      <c r="C332" s="12"/>
      <c r="D332" s="15"/>
      <c r="E332" s="15"/>
      <c r="F332" s="15"/>
      <c r="G332" s="16"/>
      <c r="H332" s="16"/>
      <c r="I332" s="16"/>
      <c r="J332" s="16"/>
      <c r="K332" s="16"/>
      <c r="L332" s="16"/>
      <c r="M332" s="15"/>
      <c r="N332" s="16"/>
      <c r="O332" s="16"/>
      <c r="P332" s="16"/>
      <c r="Q332" s="16"/>
      <c r="R332" s="16"/>
      <c r="S332" s="16"/>
      <c r="T332" s="16"/>
      <c r="U332" s="16"/>
      <c r="V332" s="16"/>
    </row>
    <row r="333" spans="1:22" ht="13.2">
      <c r="A333" s="12"/>
      <c r="B333" s="46"/>
      <c r="C333" s="12"/>
      <c r="D333" s="15"/>
      <c r="E333" s="15"/>
      <c r="F333" s="15"/>
      <c r="G333" s="16"/>
      <c r="H333" s="16"/>
      <c r="I333" s="16"/>
      <c r="J333" s="16"/>
      <c r="K333" s="16"/>
      <c r="L333" s="16"/>
      <c r="M333" s="15"/>
      <c r="N333" s="16"/>
      <c r="O333" s="16"/>
      <c r="P333" s="16"/>
      <c r="Q333" s="16"/>
      <c r="R333" s="16"/>
      <c r="S333" s="16"/>
      <c r="T333" s="16"/>
      <c r="U333" s="16"/>
      <c r="V333" s="16"/>
    </row>
    <row r="334" spans="1:22" ht="13.2">
      <c r="A334" s="12"/>
      <c r="B334" s="46"/>
      <c r="C334" s="12"/>
      <c r="D334" s="15"/>
      <c r="E334" s="15"/>
      <c r="F334" s="15"/>
      <c r="G334" s="16"/>
      <c r="H334" s="16"/>
      <c r="I334" s="16"/>
      <c r="J334" s="16"/>
      <c r="K334" s="16"/>
      <c r="L334" s="16"/>
      <c r="M334" s="15"/>
      <c r="N334" s="16"/>
      <c r="O334" s="16"/>
      <c r="P334" s="16"/>
      <c r="Q334" s="16"/>
      <c r="R334" s="16"/>
      <c r="S334" s="16"/>
      <c r="T334" s="16"/>
      <c r="U334" s="16"/>
      <c r="V334" s="16"/>
    </row>
    <row r="335" spans="1:22" ht="13.2">
      <c r="A335" s="12"/>
      <c r="B335" s="46"/>
      <c r="C335" s="12"/>
      <c r="D335" s="15"/>
      <c r="E335" s="15"/>
      <c r="F335" s="15"/>
      <c r="G335" s="16"/>
      <c r="H335" s="16"/>
      <c r="I335" s="16"/>
      <c r="J335" s="16"/>
      <c r="K335" s="16"/>
      <c r="L335" s="16"/>
      <c r="M335" s="15"/>
      <c r="N335" s="16"/>
      <c r="O335" s="16"/>
      <c r="P335" s="16"/>
      <c r="Q335" s="16"/>
      <c r="R335" s="16"/>
      <c r="S335" s="16"/>
      <c r="T335" s="16"/>
      <c r="U335" s="16"/>
      <c r="V335" s="16"/>
    </row>
    <row r="336" spans="1:22" ht="13.2">
      <c r="A336" s="12"/>
      <c r="B336" s="46"/>
      <c r="C336" s="12"/>
      <c r="D336" s="15"/>
      <c r="E336" s="15"/>
      <c r="F336" s="15"/>
      <c r="G336" s="16"/>
      <c r="H336" s="16"/>
      <c r="I336" s="16"/>
      <c r="J336" s="16"/>
      <c r="K336" s="16"/>
      <c r="L336" s="16"/>
      <c r="M336" s="15"/>
      <c r="N336" s="16"/>
      <c r="O336" s="16"/>
      <c r="P336" s="16"/>
      <c r="Q336" s="16"/>
      <c r="R336" s="16"/>
      <c r="S336" s="16"/>
      <c r="T336" s="16"/>
      <c r="U336" s="16"/>
      <c r="V336" s="16"/>
    </row>
    <row r="337" spans="1:22" ht="13.2">
      <c r="A337" s="12"/>
      <c r="B337" s="46"/>
      <c r="C337" s="12"/>
      <c r="D337" s="15"/>
      <c r="E337" s="15"/>
      <c r="F337" s="15"/>
      <c r="G337" s="16"/>
      <c r="H337" s="16"/>
      <c r="I337" s="16"/>
      <c r="J337" s="16"/>
      <c r="K337" s="16"/>
      <c r="L337" s="16"/>
      <c r="M337" s="15"/>
      <c r="N337" s="16"/>
      <c r="O337" s="16"/>
      <c r="P337" s="16"/>
      <c r="Q337" s="16"/>
      <c r="R337" s="16"/>
      <c r="S337" s="16"/>
      <c r="T337" s="16"/>
      <c r="U337" s="16"/>
      <c r="V337" s="16"/>
    </row>
    <row r="338" spans="1:22" ht="13.2">
      <c r="A338" s="12"/>
      <c r="B338" s="46"/>
      <c r="C338" s="12"/>
      <c r="D338" s="15"/>
      <c r="E338" s="15"/>
      <c r="F338" s="15"/>
      <c r="G338" s="16"/>
      <c r="H338" s="16"/>
      <c r="I338" s="16"/>
      <c r="J338" s="16"/>
      <c r="K338" s="16"/>
      <c r="L338" s="16"/>
      <c r="M338" s="15"/>
      <c r="N338" s="16"/>
      <c r="O338" s="16"/>
      <c r="P338" s="16"/>
      <c r="Q338" s="16"/>
      <c r="R338" s="16"/>
      <c r="S338" s="16"/>
      <c r="T338" s="16"/>
      <c r="U338" s="16"/>
      <c r="V338" s="16"/>
    </row>
    <row r="339" spans="1:22" ht="13.2">
      <c r="A339" s="12"/>
      <c r="B339" s="46"/>
      <c r="C339" s="12"/>
      <c r="D339" s="15"/>
      <c r="E339" s="15"/>
      <c r="F339" s="15"/>
      <c r="G339" s="16"/>
      <c r="H339" s="16"/>
      <c r="I339" s="16"/>
      <c r="J339" s="16"/>
      <c r="K339" s="16"/>
      <c r="L339" s="16"/>
      <c r="M339" s="15"/>
      <c r="N339" s="16"/>
      <c r="O339" s="16"/>
      <c r="P339" s="16"/>
      <c r="Q339" s="16"/>
      <c r="R339" s="16"/>
      <c r="S339" s="16"/>
      <c r="T339" s="16"/>
      <c r="U339" s="16"/>
      <c r="V339" s="16"/>
    </row>
    <row r="340" spans="1:22" ht="13.2">
      <c r="A340" s="12"/>
      <c r="B340" s="46"/>
      <c r="C340" s="12"/>
      <c r="D340" s="15"/>
      <c r="E340" s="15"/>
      <c r="F340" s="15"/>
      <c r="G340" s="16"/>
      <c r="H340" s="16"/>
      <c r="I340" s="16"/>
      <c r="J340" s="16"/>
      <c r="K340" s="16"/>
      <c r="L340" s="16"/>
      <c r="M340" s="15"/>
      <c r="N340" s="16"/>
      <c r="O340" s="16"/>
      <c r="P340" s="16"/>
      <c r="Q340" s="16"/>
      <c r="R340" s="16"/>
      <c r="S340" s="16"/>
      <c r="T340" s="16"/>
      <c r="U340" s="16"/>
      <c r="V340" s="16"/>
    </row>
    <row r="341" spans="1:22" ht="13.2">
      <c r="A341" s="12"/>
      <c r="B341" s="46"/>
      <c r="C341" s="12"/>
      <c r="D341" s="15"/>
      <c r="E341" s="15"/>
      <c r="F341" s="15"/>
      <c r="G341" s="16"/>
      <c r="H341" s="16"/>
      <c r="I341" s="16"/>
      <c r="J341" s="16"/>
      <c r="K341" s="16"/>
      <c r="L341" s="16"/>
      <c r="M341" s="15"/>
      <c r="N341" s="16"/>
      <c r="O341" s="16"/>
      <c r="P341" s="16"/>
      <c r="Q341" s="16"/>
      <c r="R341" s="16"/>
      <c r="S341" s="16"/>
      <c r="T341" s="16"/>
      <c r="U341" s="16"/>
      <c r="V341" s="16"/>
    </row>
    <row r="342" spans="1:22" ht="13.2">
      <c r="A342" s="12"/>
      <c r="B342" s="46"/>
      <c r="C342" s="12"/>
      <c r="D342" s="15"/>
      <c r="E342" s="15"/>
      <c r="F342" s="15"/>
      <c r="G342" s="16"/>
      <c r="H342" s="16"/>
      <c r="I342" s="16"/>
      <c r="J342" s="16"/>
      <c r="K342" s="16"/>
      <c r="L342" s="16"/>
      <c r="M342" s="15"/>
      <c r="N342" s="16"/>
      <c r="O342" s="16"/>
      <c r="P342" s="16"/>
      <c r="Q342" s="16"/>
      <c r="R342" s="16"/>
      <c r="S342" s="16"/>
      <c r="T342" s="16"/>
      <c r="U342" s="16"/>
      <c r="V342" s="16"/>
    </row>
    <row r="343" spans="1:22" ht="13.2">
      <c r="A343" s="12"/>
      <c r="B343" s="46"/>
      <c r="C343" s="12"/>
      <c r="D343" s="15"/>
      <c r="E343" s="15"/>
      <c r="F343" s="15"/>
      <c r="G343" s="16"/>
      <c r="H343" s="16"/>
      <c r="I343" s="16"/>
      <c r="J343" s="16"/>
      <c r="K343" s="16"/>
      <c r="L343" s="16"/>
      <c r="M343" s="15"/>
      <c r="N343" s="16"/>
      <c r="O343" s="16"/>
      <c r="P343" s="16"/>
      <c r="Q343" s="16"/>
      <c r="R343" s="16"/>
      <c r="S343" s="16"/>
      <c r="T343" s="16"/>
      <c r="U343" s="16"/>
      <c r="V343" s="16"/>
    </row>
    <row r="344" spans="1:22" ht="13.2">
      <c r="A344" s="12"/>
      <c r="B344" s="46"/>
      <c r="C344" s="12"/>
      <c r="D344" s="15"/>
      <c r="E344" s="15"/>
      <c r="F344" s="15"/>
      <c r="G344" s="16"/>
      <c r="H344" s="16"/>
      <c r="I344" s="16"/>
      <c r="J344" s="16"/>
      <c r="K344" s="16"/>
      <c r="L344" s="16"/>
      <c r="M344" s="15"/>
      <c r="N344" s="16"/>
      <c r="O344" s="16"/>
      <c r="P344" s="16"/>
      <c r="Q344" s="16"/>
      <c r="R344" s="16"/>
      <c r="S344" s="16"/>
      <c r="T344" s="16"/>
      <c r="U344" s="16"/>
      <c r="V344" s="16"/>
    </row>
    <row r="345" spans="1:22" ht="13.2">
      <c r="A345" s="12"/>
      <c r="B345" s="46"/>
      <c r="C345" s="12"/>
      <c r="D345" s="15"/>
      <c r="E345" s="15"/>
      <c r="F345" s="15"/>
      <c r="G345" s="16"/>
      <c r="H345" s="16"/>
      <c r="I345" s="16"/>
      <c r="J345" s="16"/>
      <c r="K345" s="16"/>
      <c r="L345" s="16"/>
      <c r="M345" s="15"/>
      <c r="N345" s="16"/>
      <c r="O345" s="16"/>
      <c r="P345" s="16"/>
      <c r="Q345" s="16"/>
      <c r="R345" s="16"/>
      <c r="S345" s="16"/>
      <c r="T345" s="16"/>
      <c r="U345" s="16"/>
      <c r="V345" s="16"/>
    </row>
    <row r="346" spans="1:22" ht="13.2">
      <c r="A346" s="12"/>
      <c r="B346" s="46"/>
      <c r="C346" s="12"/>
      <c r="D346" s="15"/>
      <c r="E346" s="15"/>
      <c r="F346" s="15"/>
      <c r="G346" s="16"/>
      <c r="H346" s="16"/>
      <c r="I346" s="16"/>
      <c r="J346" s="16"/>
      <c r="K346" s="16"/>
      <c r="L346" s="16"/>
      <c r="M346" s="15"/>
      <c r="N346" s="16"/>
      <c r="O346" s="16"/>
      <c r="P346" s="16"/>
      <c r="Q346" s="16"/>
      <c r="R346" s="16"/>
      <c r="S346" s="16"/>
      <c r="T346" s="16"/>
      <c r="U346" s="16"/>
      <c r="V346" s="16"/>
    </row>
    <row r="347" spans="1:22" ht="13.2">
      <c r="A347" s="12"/>
      <c r="B347" s="46"/>
      <c r="C347" s="12"/>
      <c r="D347" s="15"/>
      <c r="E347" s="15"/>
      <c r="F347" s="15"/>
      <c r="G347" s="16"/>
      <c r="H347" s="16"/>
      <c r="I347" s="16"/>
      <c r="J347" s="16"/>
      <c r="K347" s="16"/>
      <c r="L347" s="16"/>
      <c r="M347" s="15"/>
      <c r="N347" s="16"/>
      <c r="O347" s="16"/>
      <c r="P347" s="16"/>
      <c r="Q347" s="16"/>
      <c r="R347" s="16"/>
      <c r="S347" s="16"/>
      <c r="T347" s="16"/>
      <c r="U347" s="16"/>
      <c r="V347" s="16"/>
    </row>
    <row r="348" spans="1:22" ht="13.2">
      <c r="A348" s="12"/>
      <c r="B348" s="46"/>
      <c r="C348" s="12"/>
      <c r="D348" s="15"/>
      <c r="E348" s="15"/>
      <c r="F348" s="15"/>
      <c r="G348" s="16"/>
      <c r="H348" s="16"/>
      <c r="I348" s="16"/>
      <c r="J348" s="16"/>
      <c r="K348" s="16"/>
      <c r="L348" s="16"/>
      <c r="M348" s="15"/>
      <c r="N348" s="16"/>
      <c r="O348" s="16"/>
      <c r="P348" s="16"/>
      <c r="Q348" s="16"/>
      <c r="R348" s="16"/>
      <c r="S348" s="16"/>
      <c r="T348" s="16"/>
      <c r="U348" s="16"/>
      <c r="V348" s="16"/>
    </row>
    <row r="349" spans="1:22" ht="13.2">
      <c r="A349" s="12"/>
      <c r="B349" s="46"/>
      <c r="C349" s="12"/>
      <c r="D349" s="15"/>
      <c r="E349" s="15"/>
      <c r="F349" s="15"/>
      <c r="G349" s="16"/>
      <c r="H349" s="16"/>
      <c r="I349" s="16"/>
      <c r="J349" s="16"/>
      <c r="K349" s="16"/>
      <c r="L349" s="16"/>
      <c r="M349" s="15"/>
      <c r="N349" s="16"/>
      <c r="O349" s="16"/>
      <c r="P349" s="16"/>
      <c r="Q349" s="16"/>
      <c r="R349" s="16"/>
      <c r="S349" s="16"/>
      <c r="T349" s="16"/>
      <c r="U349" s="16"/>
      <c r="V349" s="16"/>
    </row>
    <row r="350" spans="1:22" ht="13.2">
      <c r="A350" s="12"/>
      <c r="B350" s="46"/>
      <c r="C350" s="12"/>
      <c r="D350" s="15"/>
      <c r="E350" s="15"/>
      <c r="F350" s="15"/>
      <c r="G350" s="16"/>
      <c r="H350" s="16"/>
      <c r="I350" s="16"/>
      <c r="J350" s="16"/>
      <c r="K350" s="16"/>
      <c r="L350" s="16"/>
      <c r="M350" s="15"/>
      <c r="N350" s="16"/>
      <c r="O350" s="16"/>
      <c r="P350" s="16"/>
      <c r="Q350" s="16"/>
      <c r="R350" s="16"/>
      <c r="S350" s="16"/>
      <c r="T350" s="16"/>
      <c r="U350" s="16"/>
      <c r="V350" s="16"/>
    </row>
    <row r="351" spans="1:22" ht="13.2">
      <c r="A351" s="12"/>
      <c r="B351" s="46"/>
      <c r="C351" s="12"/>
      <c r="D351" s="15"/>
      <c r="E351" s="15"/>
      <c r="F351" s="15"/>
      <c r="G351" s="16"/>
      <c r="H351" s="16"/>
      <c r="I351" s="16"/>
      <c r="J351" s="16"/>
      <c r="K351" s="16"/>
      <c r="L351" s="16"/>
      <c r="M351" s="15"/>
      <c r="N351" s="16"/>
      <c r="O351" s="16"/>
      <c r="P351" s="16"/>
      <c r="Q351" s="16"/>
      <c r="R351" s="16"/>
      <c r="S351" s="16"/>
      <c r="T351" s="16"/>
      <c r="U351" s="16"/>
      <c r="V351" s="16"/>
    </row>
    <row r="352" spans="1:22" ht="13.2">
      <c r="A352" s="12"/>
      <c r="B352" s="46"/>
      <c r="C352" s="12"/>
      <c r="D352" s="15"/>
      <c r="E352" s="15"/>
      <c r="F352" s="15"/>
      <c r="G352" s="16"/>
      <c r="H352" s="16"/>
      <c r="I352" s="16"/>
      <c r="J352" s="16"/>
      <c r="K352" s="16"/>
      <c r="L352" s="16"/>
      <c r="M352" s="15"/>
      <c r="N352" s="16"/>
      <c r="O352" s="16"/>
      <c r="P352" s="16"/>
      <c r="Q352" s="16"/>
      <c r="R352" s="16"/>
      <c r="S352" s="16"/>
      <c r="T352" s="16"/>
      <c r="U352" s="16"/>
      <c r="V352" s="16"/>
    </row>
    <row r="353" spans="1:22" ht="13.2">
      <c r="A353" s="12"/>
      <c r="B353" s="46"/>
      <c r="C353" s="12"/>
      <c r="D353" s="15"/>
      <c r="E353" s="15"/>
      <c r="F353" s="15"/>
      <c r="G353" s="16"/>
      <c r="H353" s="16"/>
      <c r="I353" s="16"/>
      <c r="J353" s="16"/>
      <c r="K353" s="16"/>
      <c r="L353" s="16"/>
      <c r="M353" s="15"/>
      <c r="N353" s="16"/>
      <c r="O353" s="16"/>
      <c r="P353" s="16"/>
      <c r="Q353" s="16"/>
      <c r="R353" s="16"/>
      <c r="S353" s="16"/>
      <c r="T353" s="16"/>
      <c r="U353" s="16"/>
      <c r="V353" s="16"/>
    </row>
    <row r="354" spans="1:22" ht="13.2">
      <c r="A354" s="12"/>
      <c r="B354" s="46"/>
      <c r="C354" s="12"/>
      <c r="D354" s="15"/>
      <c r="E354" s="15"/>
      <c r="F354" s="15"/>
      <c r="G354" s="16"/>
      <c r="H354" s="16"/>
      <c r="I354" s="16"/>
      <c r="J354" s="16"/>
      <c r="K354" s="16"/>
      <c r="L354" s="16"/>
      <c r="M354" s="15"/>
      <c r="N354" s="16"/>
      <c r="O354" s="16"/>
      <c r="P354" s="16"/>
      <c r="Q354" s="16"/>
      <c r="R354" s="16"/>
      <c r="S354" s="16"/>
      <c r="T354" s="16"/>
      <c r="U354" s="16"/>
      <c r="V354" s="16"/>
    </row>
    <row r="355" spans="1:22" ht="13.2">
      <c r="A355" s="12"/>
      <c r="B355" s="46"/>
      <c r="C355" s="12"/>
      <c r="D355" s="15"/>
      <c r="E355" s="15"/>
      <c r="F355" s="15"/>
      <c r="G355" s="16"/>
      <c r="H355" s="16"/>
      <c r="I355" s="16"/>
      <c r="J355" s="16"/>
      <c r="K355" s="16"/>
      <c r="L355" s="16"/>
      <c r="M355" s="15"/>
      <c r="N355" s="16"/>
      <c r="O355" s="16"/>
      <c r="P355" s="16"/>
      <c r="Q355" s="16"/>
      <c r="R355" s="16"/>
      <c r="S355" s="16"/>
      <c r="T355" s="16"/>
      <c r="U355" s="16"/>
      <c r="V355" s="16"/>
    </row>
    <row r="356" spans="1:22" ht="13.2">
      <c r="A356" s="12"/>
      <c r="B356" s="46"/>
      <c r="C356" s="12"/>
      <c r="D356" s="15"/>
      <c r="E356" s="15"/>
      <c r="F356" s="15"/>
      <c r="G356" s="16"/>
      <c r="H356" s="16"/>
      <c r="I356" s="16"/>
      <c r="J356" s="16"/>
      <c r="K356" s="16"/>
      <c r="L356" s="16"/>
      <c r="M356" s="15"/>
      <c r="N356" s="16"/>
      <c r="O356" s="16"/>
      <c r="P356" s="16"/>
      <c r="Q356" s="16"/>
      <c r="R356" s="16"/>
      <c r="S356" s="16"/>
      <c r="T356" s="16"/>
      <c r="U356" s="16"/>
      <c r="V356" s="16"/>
    </row>
    <row r="357" spans="1:22" ht="13.2">
      <c r="A357" s="12"/>
      <c r="B357" s="46"/>
      <c r="C357" s="12"/>
      <c r="D357" s="15"/>
      <c r="E357" s="15"/>
      <c r="F357" s="15"/>
      <c r="G357" s="16"/>
      <c r="H357" s="16"/>
      <c r="I357" s="16"/>
      <c r="J357" s="16"/>
      <c r="K357" s="16"/>
      <c r="L357" s="16"/>
      <c r="M357" s="15"/>
      <c r="N357" s="16"/>
      <c r="O357" s="16"/>
      <c r="P357" s="16"/>
      <c r="Q357" s="16"/>
      <c r="R357" s="16"/>
      <c r="S357" s="16"/>
      <c r="T357" s="16"/>
      <c r="U357" s="16"/>
      <c r="V357" s="16"/>
    </row>
    <row r="358" spans="1:22" ht="13.2">
      <c r="A358" s="12"/>
      <c r="B358" s="46"/>
      <c r="C358" s="12"/>
      <c r="D358" s="15"/>
      <c r="E358" s="15"/>
      <c r="F358" s="15"/>
      <c r="G358" s="16"/>
      <c r="H358" s="16"/>
      <c r="I358" s="16"/>
      <c r="J358" s="16"/>
      <c r="K358" s="16"/>
      <c r="L358" s="16"/>
      <c r="M358" s="15"/>
      <c r="N358" s="16"/>
      <c r="O358" s="16"/>
      <c r="P358" s="16"/>
      <c r="Q358" s="16"/>
      <c r="R358" s="16"/>
      <c r="S358" s="16"/>
      <c r="T358" s="16"/>
      <c r="U358" s="16"/>
      <c r="V358" s="16"/>
    </row>
    <row r="359" spans="1:22" ht="13.2">
      <c r="A359" s="12"/>
      <c r="B359" s="46"/>
      <c r="C359" s="12"/>
      <c r="D359" s="15"/>
      <c r="E359" s="15"/>
      <c r="F359" s="15"/>
      <c r="G359" s="16"/>
      <c r="H359" s="16"/>
      <c r="I359" s="16"/>
      <c r="J359" s="16"/>
      <c r="K359" s="16"/>
      <c r="L359" s="16"/>
      <c r="M359" s="15"/>
      <c r="N359" s="16"/>
      <c r="O359" s="16"/>
      <c r="P359" s="16"/>
      <c r="Q359" s="16"/>
      <c r="R359" s="16"/>
      <c r="S359" s="16"/>
      <c r="T359" s="16"/>
      <c r="U359" s="16"/>
      <c r="V359" s="16"/>
    </row>
    <row r="360" spans="1:22" ht="13.2">
      <c r="A360" s="12"/>
      <c r="B360" s="46"/>
      <c r="C360" s="12"/>
      <c r="D360" s="15"/>
      <c r="E360" s="15"/>
      <c r="F360" s="15"/>
      <c r="G360" s="16"/>
      <c r="H360" s="16"/>
      <c r="I360" s="16"/>
      <c r="J360" s="16"/>
      <c r="K360" s="16"/>
      <c r="L360" s="16"/>
      <c r="M360" s="15"/>
      <c r="N360" s="16"/>
      <c r="O360" s="16"/>
      <c r="P360" s="16"/>
      <c r="Q360" s="16"/>
      <c r="R360" s="16"/>
      <c r="S360" s="16"/>
      <c r="T360" s="16"/>
      <c r="U360" s="16"/>
      <c r="V360" s="16"/>
    </row>
    <row r="361" spans="1:22" ht="13.2">
      <c r="A361" s="12"/>
      <c r="B361" s="46"/>
      <c r="C361" s="12"/>
      <c r="D361" s="15"/>
      <c r="E361" s="15"/>
      <c r="F361" s="15"/>
      <c r="G361" s="16"/>
      <c r="H361" s="16"/>
      <c r="I361" s="16"/>
      <c r="J361" s="16"/>
      <c r="K361" s="16"/>
      <c r="L361" s="16"/>
      <c r="M361" s="15"/>
      <c r="N361" s="16"/>
      <c r="O361" s="16"/>
      <c r="P361" s="16"/>
      <c r="Q361" s="16"/>
      <c r="R361" s="16"/>
      <c r="S361" s="16"/>
      <c r="T361" s="16"/>
      <c r="U361" s="16"/>
      <c r="V361" s="16"/>
    </row>
    <row r="362" spans="1:22" ht="13.2">
      <c r="A362" s="12"/>
      <c r="B362" s="46"/>
      <c r="C362" s="12"/>
      <c r="D362" s="15"/>
      <c r="E362" s="15"/>
      <c r="F362" s="15"/>
      <c r="G362" s="16"/>
      <c r="H362" s="16"/>
      <c r="I362" s="16"/>
      <c r="J362" s="16"/>
      <c r="K362" s="16"/>
      <c r="L362" s="16"/>
      <c r="M362" s="15"/>
      <c r="N362" s="16"/>
      <c r="O362" s="16"/>
      <c r="P362" s="16"/>
      <c r="Q362" s="16"/>
      <c r="R362" s="16"/>
      <c r="S362" s="16"/>
      <c r="T362" s="16"/>
      <c r="U362" s="16"/>
      <c r="V362" s="16"/>
    </row>
    <row r="363" spans="1:22" ht="13.2">
      <c r="A363" s="12"/>
      <c r="B363" s="46"/>
      <c r="C363" s="12"/>
      <c r="D363" s="15"/>
      <c r="E363" s="15"/>
      <c r="F363" s="15"/>
      <c r="G363" s="16"/>
      <c r="H363" s="16"/>
      <c r="I363" s="16"/>
      <c r="J363" s="16"/>
      <c r="K363" s="16"/>
      <c r="L363" s="16"/>
      <c r="M363" s="15"/>
      <c r="N363" s="16"/>
      <c r="O363" s="16"/>
      <c r="P363" s="16"/>
      <c r="Q363" s="16"/>
      <c r="R363" s="16"/>
      <c r="S363" s="16"/>
      <c r="T363" s="16"/>
      <c r="U363" s="16"/>
      <c r="V363" s="16"/>
    </row>
    <row r="364" spans="1:22" ht="13.2">
      <c r="A364" s="12"/>
      <c r="B364" s="46"/>
      <c r="C364" s="12"/>
      <c r="D364" s="15"/>
      <c r="E364" s="15"/>
      <c r="F364" s="15"/>
      <c r="G364" s="16"/>
      <c r="H364" s="16"/>
      <c r="I364" s="16"/>
      <c r="J364" s="16"/>
      <c r="K364" s="16"/>
      <c r="L364" s="16"/>
      <c r="M364" s="15"/>
      <c r="N364" s="16"/>
      <c r="O364" s="16"/>
      <c r="P364" s="16"/>
      <c r="Q364" s="16"/>
      <c r="R364" s="16"/>
      <c r="S364" s="16"/>
      <c r="T364" s="16"/>
      <c r="U364" s="16"/>
      <c r="V364" s="16"/>
    </row>
    <row r="365" spans="1:22" ht="13.2">
      <c r="A365" s="12"/>
      <c r="B365" s="46"/>
      <c r="C365" s="12"/>
      <c r="D365" s="15"/>
      <c r="E365" s="15"/>
      <c r="F365" s="15"/>
      <c r="G365" s="16"/>
      <c r="H365" s="16"/>
      <c r="I365" s="16"/>
      <c r="J365" s="16"/>
      <c r="K365" s="16"/>
      <c r="L365" s="16"/>
      <c r="M365" s="15"/>
      <c r="N365" s="16"/>
      <c r="O365" s="16"/>
      <c r="P365" s="16"/>
      <c r="Q365" s="16"/>
      <c r="R365" s="16"/>
      <c r="S365" s="16"/>
      <c r="T365" s="16"/>
      <c r="U365" s="16"/>
      <c r="V365" s="16"/>
    </row>
    <row r="366" spans="1:22" ht="13.2">
      <c r="A366" s="12"/>
      <c r="B366" s="46"/>
      <c r="C366" s="12"/>
      <c r="D366" s="15"/>
      <c r="E366" s="15"/>
      <c r="F366" s="15"/>
      <c r="G366" s="16"/>
      <c r="H366" s="16"/>
      <c r="I366" s="16"/>
      <c r="J366" s="16"/>
      <c r="K366" s="16"/>
      <c r="L366" s="16"/>
      <c r="M366" s="15"/>
      <c r="N366" s="16"/>
      <c r="O366" s="16"/>
      <c r="P366" s="16"/>
      <c r="Q366" s="16"/>
      <c r="R366" s="16"/>
      <c r="S366" s="16"/>
      <c r="T366" s="16"/>
      <c r="U366" s="16"/>
      <c r="V366" s="16"/>
    </row>
    <row r="367" spans="1:22" ht="13.2">
      <c r="A367" s="12"/>
      <c r="B367" s="46"/>
      <c r="C367" s="12"/>
      <c r="D367" s="15"/>
      <c r="E367" s="15"/>
      <c r="F367" s="15"/>
      <c r="G367" s="16"/>
      <c r="H367" s="16"/>
      <c r="I367" s="16"/>
      <c r="J367" s="16"/>
      <c r="K367" s="16"/>
      <c r="L367" s="16"/>
      <c r="M367" s="15"/>
      <c r="N367" s="16"/>
      <c r="O367" s="16"/>
      <c r="P367" s="16"/>
      <c r="Q367" s="16"/>
      <c r="R367" s="16"/>
      <c r="S367" s="16"/>
      <c r="T367" s="16"/>
      <c r="U367" s="16"/>
      <c r="V367" s="16"/>
    </row>
    <row r="368" spans="1:22" ht="13.2">
      <c r="A368" s="12"/>
      <c r="B368" s="46"/>
      <c r="C368" s="12"/>
      <c r="D368" s="15"/>
      <c r="E368" s="15"/>
      <c r="F368" s="15"/>
      <c r="G368" s="16"/>
      <c r="H368" s="16"/>
      <c r="I368" s="16"/>
      <c r="J368" s="16"/>
      <c r="K368" s="16"/>
      <c r="L368" s="16"/>
      <c r="M368" s="15"/>
      <c r="N368" s="16"/>
      <c r="O368" s="16"/>
      <c r="P368" s="16"/>
      <c r="Q368" s="16"/>
      <c r="R368" s="16"/>
      <c r="S368" s="16"/>
      <c r="T368" s="16"/>
      <c r="U368" s="16"/>
      <c r="V368" s="16"/>
    </row>
    <row r="369" spans="1:22" ht="13.2">
      <c r="A369" s="12"/>
      <c r="B369" s="46"/>
      <c r="C369" s="12"/>
      <c r="D369" s="15"/>
      <c r="E369" s="15"/>
      <c r="F369" s="15"/>
      <c r="G369" s="16"/>
      <c r="H369" s="16"/>
      <c r="I369" s="16"/>
      <c r="J369" s="16"/>
      <c r="K369" s="16"/>
      <c r="L369" s="16"/>
      <c r="M369" s="15"/>
      <c r="N369" s="16"/>
      <c r="O369" s="16"/>
      <c r="P369" s="16"/>
      <c r="Q369" s="16"/>
      <c r="R369" s="16"/>
      <c r="S369" s="16"/>
      <c r="T369" s="16"/>
      <c r="U369" s="16"/>
      <c r="V369" s="16"/>
    </row>
    <row r="370" spans="1:22" ht="13.2">
      <c r="A370" s="12"/>
      <c r="B370" s="46"/>
      <c r="C370" s="12"/>
      <c r="D370" s="15"/>
      <c r="E370" s="15"/>
      <c r="F370" s="15"/>
      <c r="G370" s="16"/>
      <c r="H370" s="16"/>
      <c r="I370" s="16"/>
      <c r="J370" s="16"/>
      <c r="K370" s="16"/>
      <c r="L370" s="16"/>
      <c r="M370" s="15"/>
      <c r="N370" s="16"/>
      <c r="O370" s="16"/>
      <c r="P370" s="16"/>
      <c r="Q370" s="16"/>
      <c r="R370" s="16"/>
      <c r="S370" s="16"/>
      <c r="T370" s="16"/>
      <c r="U370" s="16"/>
      <c r="V370" s="16"/>
    </row>
    <row r="371" spans="1:22" ht="13.2">
      <c r="A371" s="12"/>
      <c r="B371" s="46"/>
      <c r="C371" s="12"/>
      <c r="D371" s="15"/>
      <c r="E371" s="15"/>
      <c r="F371" s="15"/>
      <c r="G371" s="16"/>
      <c r="H371" s="16"/>
      <c r="I371" s="16"/>
      <c r="J371" s="16"/>
      <c r="K371" s="16"/>
      <c r="L371" s="16"/>
      <c r="M371" s="15"/>
      <c r="N371" s="16"/>
      <c r="O371" s="16"/>
      <c r="P371" s="16"/>
      <c r="Q371" s="16"/>
      <c r="R371" s="16"/>
      <c r="S371" s="16"/>
      <c r="T371" s="16"/>
      <c r="U371" s="16"/>
      <c r="V371" s="16"/>
    </row>
    <row r="372" spans="1:22" ht="13.2">
      <c r="A372" s="12"/>
      <c r="B372" s="46"/>
      <c r="C372" s="12"/>
      <c r="D372" s="15"/>
      <c r="E372" s="15"/>
      <c r="F372" s="15"/>
      <c r="G372" s="16"/>
      <c r="H372" s="16"/>
      <c r="I372" s="16"/>
      <c r="J372" s="16"/>
      <c r="K372" s="16"/>
      <c r="L372" s="16"/>
      <c r="M372" s="15"/>
      <c r="N372" s="16"/>
      <c r="O372" s="16"/>
      <c r="P372" s="16"/>
      <c r="Q372" s="16"/>
      <c r="R372" s="16"/>
      <c r="S372" s="16"/>
      <c r="T372" s="16"/>
      <c r="U372" s="16"/>
      <c r="V372" s="16"/>
    </row>
    <row r="373" spans="1:22" ht="13.2">
      <c r="A373" s="12"/>
      <c r="B373" s="46"/>
      <c r="C373" s="12"/>
      <c r="D373" s="15"/>
      <c r="E373" s="15"/>
      <c r="F373" s="15"/>
      <c r="G373" s="16"/>
      <c r="H373" s="16"/>
      <c r="I373" s="16"/>
      <c r="J373" s="16"/>
      <c r="K373" s="16"/>
      <c r="L373" s="16"/>
      <c r="M373" s="15"/>
      <c r="N373" s="16"/>
      <c r="O373" s="16"/>
      <c r="P373" s="16"/>
      <c r="Q373" s="16"/>
      <c r="R373" s="16"/>
      <c r="S373" s="16"/>
      <c r="T373" s="16"/>
      <c r="U373" s="16"/>
      <c r="V373" s="16"/>
    </row>
    <row r="374" spans="1:22" ht="13.2">
      <c r="A374" s="12"/>
      <c r="B374" s="46"/>
      <c r="C374" s="12"/>
      <c r="D374" s="15"/>
      <c r="E374" s="15"/>
      <c r="F374" s="15"/>
      <c r="G374" s="16"/>
      <c r="H374" s="16"/>
      <c r="I374" s="16"/>
      <c r="J374" s="16"/>
      <c r="K374" s="16"/>
      <c r="L374" s="16"/>
      <c r="M374" s="15"/>
      <c r="N374" s="16"/>
      <c r="O374" s="16"/>
      <c r="P374" s="16"/>
      <c r="Q374" s="16"/>
      <c r="R374" s="16"/>
      <c r="S374" s="16"/>
      <c r="T374" s="16"/>
      <c r="U374" s="16"/>
      <c r="V374" s="16"/>
    </row>
    <row r="375" spans="1:22" ht="13.2">
      <c r="A375" s="12"/>
      <c r="B375" s="46"/>
      <c r="C375" s="12"/>
      <c r="D375" s="15"/>
      <c r="E375" s="15"/>
      <c r="F375" s="15"/>
      <c r="G375" s="16"/>
      <c r="H375" s="16"/>
      <c r="I375" s="16"/>
      <c r="J375" s="16"/>
      <c r="K375" s="16"/>
      <c r="L375" s="16"/>
      <c r="M375" s="15"/>
      <c r="N375" s="16"/>
      <c r="O375" s="16"/>
      <c r="P375" s="16"/>
      <c r="Q375" s="16"/>
      <c r="R375" s="16"/>
      <c r="S375" s="16"/>
      <c r="T375" s="16"/>
      <c r="U375" s="16"/>
      <c r="V375" s="16"/>
    </row>
    <row r="376" spans="1:22" ht="13.2">
      <c r="A376" s="12"/>
      <c r="B376" s="46"/>
      <c r="C376" s="12"/>
      <c r="D376" s="15"/>
      <c r="E376" s="15"/>
      <c r="F376" s="15"/>
      <c r="G376" s="16"/>
      <c r="H376" s="16"/>
      <c r="I376" s="16"/>
      <c r="J376" s="16"/>
      <c r="K376" s="16"/>
      <c r="L376" s="16"/>
      <c r="M376" s="15"/>
      <c r="N376" s="16"/>
      <c r="O376" s="16"/>
      <c r="P376" s="16"/>
      <c r="Q376" s="16"/>
      <c r="R376" s="16"/>
      <c r="S376" s="16"/>
      <c r="T376" s="16"/>
      <c r="U376" s="16"/>
      <c r="V376" s="16"/>
    </row>
    <row r="377" spans="1:22" ht="13.2">
      <c r="A377" s="12"/>
      <c r="B377" s="46"/>
      <c r="C377" s="12"/>
      <c r="D377" s="15"/>
      <c r="E377" s="15"/>
      <c r="F377" s="15"/>
      <c r="G377" s="16"/>
      <c r="H377" s="16"/>
      <c r="I377" s="16"/>
      <c r="J377" s="16"/>
      <c r="K377" s="16"/>
      <c r="L377" s="16"/>
      <c r="M377" s="15"/>
      <c r="N377" s="16"/>
      <c r="O377" s="16"/>
      <c r="P377" s="16"/>
      <c r="Q377" s="16"/>
      <c r="R377" s="16"/>
      <c r="S377" s="16"/>
      <c r="T377" s="16"/>
      <c r="U377" s="16"/>
      <c r="V377" s="16"/>
    </row>
    <row r="378" spans="1:22" ht="13.2">
      <c r="A378" s="12"/>
      <c r="B378" s="46"/>
      <c r="C378" s="12"/>
      <c r="D378" s="15"/>
      <c r="E378" s="15"/>
      <c r="F378" s="15"/>
      <c r="G378" s="16"/>
      <c r="H378" s="16"/>
      <c r="I378" s="16"/>
      <c r="J378" s="16"/>
      <c r="K378" s="16"/>
      <c r="L378" s="16"/>
      <c r="M378" s="15"/>
      <c r="N378" s="16"/>
      <c r="O378" s="16"/>
      <c r="P378" s="16"/>
      <c r="Q378" s="16"/>
      <c r="R378" s="16"/>
      <c r="S378" s="16"/>
      <c r="T378" s="16"/>
      <c r="U378" s="16"/>
      <c r="V378" s="16"/>
    </row>
    <row r="379" spans="1:22" ht="13.2">
      <c r="A379" s="12"/>
      <c r="B379" s="46"/>
      <c r="C379" s="12"/>
      <c r="D379" s="15"/>
      <c r="E379" s="15"/>
      <c r="F379" s="15"/>
      <c r="G379" s="16"/>
      <c r="H379" s="16"/>
      <c r="I379" s="16"/>
      <c r="J379" s="16"/>
      <c r="K379" s="16"/>
      <c r="L379" s="16"/>
      <c r="M379" s="15"/>
      <c r="N379" s="16"/>
      <c r="O379" s="16"/>
      <c r="P379" s="16"/>
      <c r="Q379" s="16"/>
      <c r="R379" s="16"/>
      <c r="S379" s="16"/>
      <c r="T379" s="16"/>
      <c r="U379" s="16"/>
      <c r="V379" s="16"/>
    </row>
    <row r="380" spans="1:22" ht="13.2">
      <c r="A380" s="12"/>
      <c r="B380" s="46"/>
      <c r="C380" s="12"/>
      <c r="D380" s="15"/>
      <c r="E380" s="15"/>
      <c r="F380" s="15"/>
      <c r="G380" s="16"/>
      <c r="H380" s="16"/>
      <c r="I380" s="16"/>
      <c r="J380" s="16"/>
      <c r="K380" s="16"/>
      <c r="L380" s="16"/>
      <c r="M380" s="15"/>
      <c r="N380" s="16"/>
      <c r="O380" s="16"/>
      <c r="P380" s="16"/>
      <c r="Q380" s="16"/>
      <c r="R380" s="16"/>
      <c r="S380" s="16"/>
      <c r="T380" s="16"/>
      <c r="U380" s="16"/>
      <c r="V380" s="16"/>
    </row>
    <row r="381" spans="1:22" ht="13.2">
      <c r="A381" s="12"/>
      <c r="B381" s="46"/>
      <c r="C381" s="12"/>
      <c r="D381" s="15"/>
      <c r="E381" s="15"/>
      <c r="F381" s="15"/>
      <c r="G381" s="16"/>
      <c r="H381" s="16"/>
      <c r="I381" s="16"/>
      <c r="J381" s="16"/>
      <c r="K381" s="16"/>
      <c r="L381" s="16"/>
      <c r="M381" s="15"/>
      <c r="N381" s="16"/>
      <c r="O381" s="16"/>
      <c r="P381" s="16"/>
      <c r="Q381" s="16"/>
      <c r="R381" s="16"/>
      <c r="S381" s="16"/>
      <c r="T381" s="16"/>
      <c r="U381" s="16"/>
      <c r="V381" s="16"/>
    </row>
    <row r="382" spans="1:22" ht="13.2">
      <c r="A382" s="12"/>
      <c r="B382" s="46"/>
      <c r="C382" s="12"/>
      <c r="D382" s="15"/>
      <c r="E382" s="15"/>
      <c r="F382" s="15"/>
      <c r="G382" s="16"/>
      <c r="H382" s="16"/>
      <c r="I382" s="16"/>
      <c r="J382" s="16"/>
      <c r="K382" s="16"/>
      <c r="L382" s="16"/>
      <c r="M382" s="15"/>
      <c r="N382" s="16"/>
      <c r="O382" s="16"/>
      <c r="P382" s="16"/>
      <c r="Q382" s="16"/>
      <c r="R382" s="16"/>
      <c r="S382" s="16"/>
      <c r="T382" s="16"/>
      <c r="U382" s="16"/>
      <c r="V382" s="16"/>
    </row>
    <row r="383" spans="1:22" ht="13.2">
      <c r="A383" s="12"/>
      <c r="B383" s="46"/>
      <c r="C383" s="12"/>
      <c r="D383" s="15"/>
      <c r="E383" s="15"/>
      <c r="F383" s="15"/>
      <c r="G383" s="16"/>
      <c r="H383" s="16"/>
      <c r="I383" s="16"/>
      <c r="J383" s="16"/>
      <c r="K383" s="16"/>
      <c r="L383" s="16"/>
      <c r="M383" s="15"/>
      <c r="N383" s="16"/>
      <c r="O383" s="16"/>
      <c r="P383" s="16"/>
      <c r="Q383" s="16"/>
      <c r="R383" s="16"/>
      <c r="S383" s="16"/>
      <c r="T383" s="16"/>
      <c r="U383" s="16"/>
      <c r="V383" s="16"/>
    </row>
    <row r="384" spans="1:22" ht="13.2">
      <c r="A384" s="12"/>
      <c r="B384" s="46"/>
      <c r="C384" s="12"/>
      <c r="D384" s="15"/>
      <c r="E384" s="15"/>
      <c r="F384" s="15"/>
      <c r="G384" s="16"/>
      <c r="H384" s="16"/>
      <c r="I384" s="16"/>
      <c r="J384" s="16"/>
      <c r="K384" s="16"/>
      <c r="L384" s="16"/>
      <c r="M384" s="15"/>
      <c r="N384" s="16"/>
      <c r="O384" s="16"/>
      <c r="P384" s="16"/>
      <c r="Q384" s="16"/>
      <c r="R384" s="16"/>
      <c r="S384" s="16"/>
      <c r="T384" s="16"/>
      <c r="U384" s="16"/>
      <c r="V384" s="16"/>
    </row>
    <row r="385" spans="1:22" ht="13.2">
      <c r="A385" s="12"/>
      <c r="B385" s="46"/>
      <c r="C385" s="12"/>
      <c r="D385" s="15"/>
      <c r="E385" s="15"/>
      <c r="F385" s="15"/>
      <c r="G385" s="16"/>
      <c r="H385" s="16"/>
      <c r="I385" s="16"/>
      <c r="J385" s="16"/>
      <c r="K385" s="16"/>
      <c r="L385" s="16"/>
      <c r="M385" s="15"/>
      <c r="N385" s="16"/>
      <c r="O385" s="16"/>
      <c r="P385" s="16"/>
      <c r="Q385" s="16"/>
      <c r="R385" s="16"/>
      <c r="S385" s="16"/>
      <c r="T385" s="16"/>
      <c r="U385" s="16"/>
      <c r="V385" s="16"/>
    </row>
    <row r="386" spans="1:22" ht="13.2">
      <c r="A386" s="12"/>
      <c r="B386" s="46"/>
      <c r="C386" s="12"/>
      <c r="D386" s="15"/>
      <c r="E386" s="15"/>
      <c r="F386" s="15"/>
      <c r="G386" s="16"/>
      <c r="H386" s="16"/>
      <c r="I386" s="16"/>
      <c r="J386" s="16"/>
      <c r="K386" s="16"/>
      <c r="L386" s="16"/>
      <c r="M386" s="15"/>
      <c r="N386" s="16"/>
      <c r="O386" s="16"/>
      <c r="P386" s="16"/>
      <c r="Q386" s="16"/>
      <c r="R386" s="16"/>
      <c r="S386" s="16"/>
      <c r="T386" s="16"/>
      <c r="U386" s="16"/>
      <c r="V386" s="16"/>
    </row>
    <row r="387" spans="1:22" ht="13.2">
      <c r="A387" s="12"/>
      <c r="B387" s="46"/>
      <c r="C387" s="12"/>
      <c r="D387" s="15"/>
      <c r="E387" s="15"/>
      <c r="F387" s="15"/>
      <c r="G387" s="16"/>
      <c r="H387" s="16"/>
      <c r="I387" s="16"/>
      <c r="J387" s="16"/>
      <c r="K387" s="16"/>
      <c r="L387" s="16"/>
      <c r="M387" s="15"/>
      <c r="N387" s="16"/>
      <c r="O387" s="16"/>
      <c r="P387" s="16"/>
      <c r="Q387" s="16"/>
      <c r="R387" s="16"/>
      <c r="S387" s="16"/>
      <c r="T387" s="16"/>
      <c r="U387" s="16"/>
      <c r="V387" s="16"/>
    </row>
    <row r="388" spans="1:22" ht="13.2">
      <c r="A388" s="12"/>
      <c r="B388" s="46"/>
      <c r="C388" s="12"/>
      <c r="D388" s="15"/>
      <c r="E388" s="15"/>
      <c r="F388" s="15"/>
      <c r="G388" s="16"/>
      <c r="H388" s="16"/>
      <c r="I388" s="16"/>
      <c r="J388" s="16"/>
      <c r="K388" s="16"/>
      <c r="L388" s="16"/>
      <c r="M388" s="15"/>
      <c r="N388" s="16"/>
      <c r="O388" s="16"/>
      <c r="P388" s="16"/>
      <c r="Q388" s="16"/>
      <c r="R388" s="16"/>
      <c r="S388" s="16"/>
      <c r="T388" s="16"/>
      <c r="U388" s="16"/>
      <c r="V388" s="16"/>
    </row>
    <row r="389" spans="1:22" ht="13.2">
      <c r="A389" s="12"/>
      <c r="B389" s="46"/>
      <c r="C389" s="12"/>
      <c r="D389" s="15"/>
      <c r="E389" s="15"/>
      <c r="F389" s="15"/>
      <c r="G389" s="16"/>
      <c r="H389" s="16"/>
      <c r="I389" s="16"/>
      <c r="J389" s="16"/>
      <c r="K389" s="16"/>
      <c r="L389" s="16"/>
      <c r="M389" s="15"/>
      <c r="N389" s="16"/>
      <c r="O389" s="16"/>
      <c r="P389" s="16"/>
      <c r="Q389" s="16"/>
      <c r="R389" s="16"/>
      <c r="S389" s="16"/>
      <c r="T389" s="16"/>
      <c r="U389" s="16"/>
      <c r="V389" s="16"/>
    </row>
    <row r="390" spans="1:22" ht="13.2">
      <c r="A390" s="12"/>
      <c r="B390" s="46"/>
      <c r="C390" s="12"/>
      <c r="D390" s="15"/>
      <c r="E390" s="15"/>
      <c r="F390" s="15"/>
      <c r="G390" s="16"/>
      <c r="H390" s="16"/>
      <c r="I390" s="16"/>
      <c r="J390" s="16"/>
      <c r="K390" s="16"/>
      <c r="L390" s="16"/>
      <c r="M390" s="15"/>
      <c r="N390" s="16"/>
      <c r="O390" s="16"/>
      <c r="P390" s="16"/>
      <c r="Q390" s="16"/>
      <c r="R390" s="16"/>
      <c r="S390" s="16"/>
      <c r="T390" s="16"/>
      <c r="U390" s="16"/>
      <c r="V390" s="16"/>
    </row>
    <row r="391" spans="1:22" ht="13.2">
      <c r="A391" s="12"/>
      <c r="B391" s="46"/>
      <c r="C391" s="12"/>
      <c r="D391" s="15"/>
      <c r="E391" s="15"/>
      <c r="F391" s="15"/>
      <c r="G391" s="16"/>
      <c r="H391" s="16"/>
      <c r="I391" s="16"/>
      <c r="J391" s="16"/>
      <c r="K391" s="16"/>
      <c r="L391" s="16"/>
      <c r="M391" s="15"/>
      <c r="N391" s="16"/>
      <c r="O391" s="16"/>
      <c r="P391" s="16"/>
      <c r="Q391" s="16"/>
      <c r="R391" s="16"/>
      <c r="S391" s="16"/>
      <c r="T391" s="16"/>
      <c r="U391" s="16"/>
      <c r="V391" s="16"/>
    </row>
    <row r="392" spans="1:22" ht="13.2">
      <c r="A392" s="12"/>
      <c r="B392" s="46"/>
      <c r="C392" s="12"/>
      <c r="D392" s="15"/>
      <c r="E392" s="15"/>
      <c r="F392" s="15"/>
      <c r="G392" s="16"/>
      <c r="H392" s="16"/>
      <c r="I392" s="16"/>
      <c r="J392" s="16"/>
      <c r="K392" s="16"/>
      <c r="L392" s="16"/>
      <c r="M392" s="15"/>
      <c r="N392" s="16"/>
      <c r="O392" s="16"/>
      <c r="P392" s="16"/>
      <c r="Q392" s="16"/>
      <c r="R392" s="16"/>
      <c r="S392" s="16"/>
      <c r="T392" s="16"/>
      <c r="U392" s="16"/>
      <c r="V392" s="16"/>
    </row>
    <row r="393" spans="1:22" ht="13.2">
      <c r="A393" s="12"/>
      <c r="B393" s="46"/>
      <c r="C393" s="12"/>
      <c r="D393" s="15"/>
      <c r="E393" s="15"/>
      <c r="F393" s="15"/>
      <c r="G393" s="16"/>
      <c r="H393" s="16"/>
      <c r="I393" s="16"/>
      <c r="J393" s="16"/>
      <c r="K393" s="16"/>
      <c r="L393" s="16"/>
      <c r="M393" s="15"/>
      <c r="N393" s="16"/>
      <c r="O393" s="16"/>
      <c r="P393" s="16"/>
      <c r="Q393" s="16"/>
      <c r="R393" s="16"/>
      <c r="S393" s="16"/>
      <c r="T393" s="16"/>
      <c r="U393" s="16"/>
      <c r="V393" s="16"/>
    </row>
    <row r="394" spans="1:22" ht="13.2">
      <c r="A394" s="12"/>
      <c r="B394" s="46"/>
      <c r="C394" s="12"/>
      <c r="D394" s="15"/>
      <c r="E394" s="15"/>
      <c r="F394" s="15"/>
      <c r="G394" s="16"/>
      <c r="H394" s="16"/>
      <c r="I394" s="16"/>
      <c r="J394" s="16"/>
      <c r="K394" s="16"/>
      <c r="L394" s="16"/>
      <c r="M394" s="15"/>
      <c r="N394" s="16"/>
      <c r="O394" s="16"/>
      <c r="P394" s="16"/>
      <c r="Q394" s="16"/>
      <c r="R394" s="16"/>
      <c r="S394" s="16"/>
      <c r="T394" s="16"/>
      <c r="U394" s="16"/>
      <c r="V394" s="16"/>
    </row>
    <row r="395" spans="1:22" ht="13.2">
      <c r="A395" s="12"/>
      <c r="B395" s="46"/>
      <c r="C395" s="12"/>
      <c r="D395" s="15"/>
      <c r="E395" s="15"/>
      <c r="F395" s="15"/>
      <c r="G395" s="16"/>
      <c r="H395" s="16"/>
      <c r="I395" s="16"/>
      <c r="J395" s="16"/>
      <c r="K395" s="16"/>
      <c r="L395" s="16"/>
      <c r="M395" s="15"/>
      <c r="N395" s="16"/>
      <c r="O395" s="16"/>
      <c r="P395" s="16"/>
      <c r="Q395" s="16"/>
      <c r="R395" s="16"/>
      <c r="S395" s="16"/>
      <c r="T395" s="16"/>
      <c r="U395" s="16"/>
      <c r="V395" s="16"/>
    </row>
    <row r="396" spans="1:22" ht="13.2">
      <c r="A396" s="12"/>
      <c r="B396" s="46"/>
      <c r="C396" s="12"/>
      <c r="D396" s="15"/>
      <c r="E396" s="15"/>
      <c r="F396" s="15"/>
      <c r="G396" s="16"/>
      <c r="H396" s="16"/>
      <c r="I396" s="16"/>
      <c r="J396" s="16"/>
      <c r="K396" s="16"/>
      <c r="L396" s="16"/>
      <c r="M396" s="15"/>
      <c r="N396" s="16"/>
      <c r="O396" s="16"/>
      <c r="P396" s="16"/>
      <c r="Q396" s="16"/>
      <c r="R396" s="16"/>
      <c r="S396" s="16"/>
      <c r="T396" s="16"/>
      <c r="U396" s="16"/>
      <c r="V396" s="16"/>
    </row>
    <row r="397" spans="1:22" ht="13.2">
      <c r="A397" s="12"/>
      <c r="B397" s="46"/>
      <c r="C397" s="12"/>
      <c r="D397" s="15"/>
      <c r="E397" s="15"/>
      <c r="F397" s="15"/>
      <c r="G397" s="16"/>
      <c r="H397" s="16"/>
      <c r="I397" s="16"/>
      <c r="J397" s="16"/>
      <c r="K397" s="16"/>
      <c r="L397" s="16"/>
      <c r="M397" s="15"/>
      <c r="N397" s="16"/>
      <c r="O397" s="16"/>
      <c r="P397" s="16"/>
      <c r="Q397" s="16"/>
      <c r="R397" s="16"/>
      <c r="S397" s="16"/>
      <c r="T397" s="16"/>
      <c r="U397" s="16"/>
      <c r="V397" s="16"/>
    </row>
    <row r="398" spans="1:22" ht="13.2">
      <c r="A398" s="12"/>
      <c r="B398" s="46"/>
      <c r="C398" s="12"/>
      <c r="D398" s="15"/>
      <c r="E398" s="15"/>
      <c r="F398" s="15"/>
      <c r="G398" s="16"/>
      <c r="H398" s="16"/>
      <c r="I398" s="16"/>
      <c r="J398" s="16"/>
      <c r="K398" s="16"/>
      <c r="L398" s="16"/>
      <c r="M398" s="15"/>
      <c r="N398" s="16"/>
      <c r="O398" s="16"/>
      <c r="P398" s="16"/>
      <c r="Q398" s="16"/>
      <c r="R398" s="16"/>
      <c r="S398" s="16"/>
      <c r="T398" s="16"/>
      <c r="U398" s="16"/>
      <c r="V398" s="16"/>
    </row>
    <row r="399" spans="1:22" ht="13.2">
      <c r="A399" s="12"/>
      <c r="B399" s="46"/>
      <c r="C399" s="12"/>
      <c r="D399" s="15"/>
      <c r="E399" s="15"/>
      <c r="F399" s="15"/>
      <c r="G399" s="16"/>
      <c r="H399" s="16"/>
      <c r="I399" s="16"/>
      <c r="J399" s="16"/>
      <c r="K399" s="16"/>
      <c r="L399" s="16"/>
      <c r="M399" s="15"/>
      <c r="N399" s="16"/>
      <c r="O399" s="16"/>
      <c r="P399" s="16"/>
      <c r="Q399" s="16"/>
      <c r="R399" s="16"/>
      <c r="S399" s="16"/>
      <c r="T399" s="16"/>
      <c r="U399" s="16"/>
      <c r="V399" s="16"/>
    </row>
    <row r="400" spans="1:22" ht="13.2">
      <c r="A400" s="12"/>
      <c r="B400" s="46"/>
      <c r="C400" s="12"/>
      <c r="D400" s="15"/>
      <c r="E400" s="15"/>
      <c r="F400" s="15"/>
      <c r="G400" s="16"/>
      <c r="H400" s="16"/>
      <c r="I400" s="16"/>
      <c r="J400" s="16"/>
      <c r="K400" s="16"/>
      <c r="L400" s="16"/>
      <c r="M400" s="15"/>
      <c r="N400" s="16"/>
      <c r="O400" s="16"/>
      <c r="P400" s="16"/>
      <c r="Q400" s="16"/>
      <c r="R400" s="16"/>
      <c r="S400" s="16"/>
      <c r="T400" s="16"/>
      <c r="U400" s="16"/>
      <c r="V400" s="16"/>
    </row>
    <row r="401" spans="1:22" ht="13.2">
      <c r="A401" s="12"/>
      <c r="B401" s="46"/>
      <c r="C401" s="12"/>
      <c r="D401" s="15"/>
      <c r="E401" s="15"/>
      <c r="F401" s="15"/>
      <c r="G401" s="16"/>
      <c r="H401" s="16"/>
      <c r="I401" s="16"/>
      <c r="J401" s="16"/>
      <c r="K401" s="16"/>
      <c r="L401" s="16"/>
      <c r="M401" s="15"/>
      <c r="N401" s="16"/>
      <c r="O401" s="16"/>
      <c r="P401" s="16"/>
      <c r="Q401" s="16"/>
      <c r="R401" s="16"/>
      <c r="S401" s="16"/>
      <c r="T401" s="16"/>
      <c r="U401" s="16"/>
      <c r="V401" s="16"/>
    </row>
    <row r="402" spans="1:22" ht="13.2">
      <c r="A402" s="12"/>
      <c r="B402" s="46"/>
      <c r="C402" s="12"/>
      <c r="D402" s="15"/>
      <c r="E402" s="15"/>
      <c r="F402" s="15"/>
      <c r="G402" s="16"/>
      <c r="H402" s="16"/>
      <c r="I402" s="16"/>
      <c r="J402" s="16"/>
      <c r="K402" s="16"/>
      <c r="L402" s="16"/>
      <c r="M402" s="15"/>
      <c r="N402" s="16"/>
      <c r="O402" s="16"/>
      <c r="P402" s="16"/>
      <c r="Q402" s="16"/>
      <c r="R402" s="16"/>
      <c r="S402" s="16"/>
      <c r="T402" s="16"/>
      <c r="U402" s="16"/>
      <c r="V402" s="16"/>
    </row>
    <row r="403" spans="1:22" ht="13.2">
      <c r="A403" s="12"/>
      <c r="B403" s="46"/>
      <c r="C403" s="12"/>
      <c r="D403" s="15"/>
      <c r="E403" s="15"/>
      <c r="F403" s="15"/>
      <c r="G403" s="16"/>
      <c r="H403" s="16"/>
      <c r="I403" s="16"/>
      <c r="J403" s="16"/>
      <c r="K403" s="16"/>
      <c r="L403" s="16"/>
      <c r="M403" s="15"/>
      <c r="N403" s="16"/>
      <c r="O403" s="16"/>
      <c r="P403" s="16"/>
      <c r="Q403" s="16"/>
      <c r="R403" s="16"/>
      <c r="S403" s="16"/>
      <c r="T403" s="16"/>
      <c r="U403" s="16"/>
      <c r="V403" s="16"/>
    </row>
    <row r="404" spans="1:22" ht="13.2">
      <c r="A404" s="12"/>
      <c r="B404" s="46"/>
      <c r="C404" s="12"/>
      <c r="D404" s="15"/>
      <c r="E404" s="15"/>
      <c r="F404" s="15"/>
      <c r="G404" s="16"/>
      <c r="H404" s="16"/>
      <c r="I404" s="16"/>
      <c r="J404" s="16"/>
      <c r="K404" s="16"/>
      <c r="L404" s="16"/>
      <c r="M404" s="15"/>
      <c r="N404" s="16"/>
      <c r="O404" s="16"/>
      <c r="P404" s="16"/>
      <c r="Q404" s="16"/>
      <c r="R404" s="16"/>
      <c r="S404" s="16"/>
      <c r="T404" s="16"/>
      <c r="U404" s="16"/>
      <c r="V404" s="16"/>
    </row>
    <row r="405" spans="1:22" ht="13.2">
      <c r="A405" s="12"/>
      <c r="B405" s="46"/>
      <c r="C405" s="12"/>
      <c r="D405" s="15"/>
      <c r="E405" s="15"/>
      <c r="F405" s="15"/>
      <c r="G405" s="16"/>
      <c r="H405" s="16"/>
      <c r="I405" s="16"/>
      <c r="J405" s="16"/>
      <c r="K405" s="16"/>
      <c r="L405" s="16"/>
      <c r="M405" s="15"/>
      <c r="N405" s="16"/>
      <c r="O405" s="16"/>
      <c r="P405" s="16"/>
      <c r="Q405" s="16"/>
      <c r="R405" s="16"/>
      <c r="S405" s="16"/>
      <c r="T405" s="16"/>
      <c r="U405" s="16"/>
      <c r="V405" s="16"/>
    </row>
    <row r="406" spans="1:22" ht="13.2">
      <c r="A406" s="12"/>
      <c r="B406" s="46"/>
      <c r="C406" s="12"/>
      <c r="D406" s="15"/>
      <c r="E406" s="15"/>
      <c r="F406" s="15"/>
      <c r="G406" s="16"/>
      <c r="H406" s="16"/>
      <c r="I406" s="16"/>
      <c r="J406" s="16"/>
      <c r="K406" s="16"/>
      <c r="L406" s="16"/>
      <c r="M406" s="15"/>
      <c r="N406" s="16"/>
      <c r="O406" s="16"/>
      <c r="P406" s="16"/>
      <c r="Q406" s="16"/>
      <c r="R406" s="16"/>
      <c r="S406" s="16"/>
      <c r="T406" s="16"/>
      <c r="U406" s="16"/>
      <c r="V406" s="16"/>
    </row>
    <row r="407" spans="1:22" ht="13.2">
      <c r="A407" s="12"/>
      <c r="B407" s="46"/>
      <c r="C407" s="12"/>
      <c r="D407" s="15"/>
      <c r="E407" s="15"/>
      <c r="F407" s="15"/>
      <c r="G407" s="16"/>
      <c r="H407" s="16"/>
      <c r="I407" s="16"/>
      <c r="J407" s="16"/>
      <c r="K407" s="16"/>
      <c r="L407" s="16"/>
      <c r="M407" s="15"/>
      <c r="N407" s="16"/>
      <c r="O407" s="16"/>
      <c r="P407" s="16"/>
      <c r="Q407" s="16"/>
      <c r="R407" s="16"/>
      <c r="S407" s="16"/>
      <c r="T407" s="16"/>
      <c r="U407" s="16"/>
      <c r="V407" s="16"/>
    </row>
    <row r="408" spans="1:22" ht="13.2">
      <c r="A408" s="12"/>
      <c r="B408" s="46"/>
      <c r="C408" s="12"/>
      <c r="D408" s="15"/>
      <c r="E408" s="15"/>
      <c r="F408" s="15"/>
      <c r="G408" s="16"/>
      <c r="H408" s="16"/>
      <c r="I408" s="16"/>
      <c r="J408" s="16"/>
      <c r="K408" s="16"/>
      <c r="L408" s="16"/>
      <c r="M408" s="15"/>
      <c r="N408" s="16"/>
      <c r="O408" s="16"/>
      <c r="P408" s="16"/>
      <c r="Q408" s="16"/>
      <c r="R408" s="16"/>
      <c r="S408" s="16"/>
      <c r="T408" s="16"/>
      <c r="U408" s="16"/>
      <c r="V408" s="16"/>
    </row>
    <row r="409" spans="1:22" ht="13.2">
      <c r="A409" s="12"/>
      <c r="B409" s="46"/>
      <c r="C409" s="12"/>
      <c r="D409" s="15"/>
      <c r="E409" s="15"/>
      <c r="F409" s="15"/>
      <c r="G409" s="16"/>
      <c r="H409" s="16"/>
      <c r="I409" s="16"/>
      <c r="J409" s="16"/>
      <c r="K409" s="16"/>
      <c r="L409" s="16"/>
      <c r="M409" s="15"/>
      <c r="N409" s="16"/>
      <c r="O409" s="16"/>
      <c r="P409" s="16"/>
      <c r="Q409" s="16"/>
      <c r="R409" s="16"/>
      <c r="S409" s="16"/>
      <c r="T409" s="16"/>
      <c r="U409" s="16"/>
      <c r="V409" s="16"/>
    </row>
    <row r="410" spans="1:22" ht="13.2">
      <c r="A410" s="12"/>
      <c r="B410" s="46"/>
      <c r="C410" s="12"/>
      <c r="D410" s="15"/>
      <c r="E410" s="15"/>
      <c r="F410" s="15"/>
      <c r="G410" s="16"/>
      <c r="H410" s="16"/>
      <c r="I410" s="16"/>
      <c r="J410" s="16"/>
      <c r="K410" s="16"/>
      <c r="L410" s="16"/>
      <c r="M410" s="15"/>
      <c r="N410" s="16"/>
      <c r="O410" s="16"/>
      <c r="P410" s="16"/>
      <c r="Q410" s="16"/>
      <c r="R410" s="16"/>
      <c r="S410" s="16"/>
      <c r="T410" s="16"/>
      <c r="U410" s="16"/>
      <c r="V410" s="16"/>
    </row>
    <row r="411" spans="1:22" ht="13.2">
      <c r="A411" s="12"/>
      <c r="B411" s="46"/>
      <c r="C411" s="12"/>
      <c r="D411" s="15"/>
      <c r="E411" s="15"/>
      <c r="F411" s="15"/>
      <c r="G411" s="16"/>
      <c r="H411" s="16"/>
      <c r="I411" s="16"/>
      <c r="J411" s="16"/>
      <c r="K411" s="16"/>
      <c r="L411" s="16"/>
      <c r="M411" s="15"/>
      <c r="N411" s="16"/>
      <c r="O411" s="16"/>
      <c r="P411" s="16"/>
      <c r="Q411" s="16"/>
      <c r="R411" s="16"/>
      <c r="S411" s="16"/>
      <c r="T411" s="16"/>
      <c r="U411" s="16"/>
      <c r="V411" s="16"/>
    </row>
    <row r="412" spans="1:22" ht="13.2">
      <c r="A412" s="12"/>
      <c r="B412" s="46"/>
      <c r="C412" s="12"/>
      <c r="D412" s="15"/>
      <c r="E412" s="15"/>
      <c r="F412" s="15"/>
      <c r="G412" s="16"/>
      <c r="H412" s="16"/>
      <c r="I412" s="16"/>
      <c r="J412" s="16"/>
      <c r="K412" s="16"/>
      <c r="L412" s="16"/>
      <c r="M412" s="15"/>
      <c r="N412" s="16"/>
      <c r="O412" s="16"/>
      <c r="P412" s="16"/>
      <c r="Q412" s="16"/>
      <c r="R412" s="16"/>
      <c r="S412" s="16"/>
      <c r="T412" s="16"/>
      <c r="U412" s="16"/>
      <c r="V412" s="16"/>
    </row>
    <row r="413" spans="1:22" ht="13.2">
      <c r="A413" s="12"/>
      <c r="B413" s="46"/>
      <c r="C413" s="12"/>
      <c r="D413" s="15"/>
      <c r="E413" s="15"/>
      <c r="F413" s="15"/>
      <c r="G413" s="16"/>
      <c r="H413" s="16"/>
      <c r="I413" s="16"/>
      <c r="J413" s="16"/>
      <c r="K413" s="16"/>
      <c r="L413" s="16"/>
      <c r="M413" s="15"/>
      <c r="N413" s="16"/>
      <c r="O413" s="16"/>
      <c r="P413" s="16"/>
      <c r="Q413" s="16"/>
      <c r="R413" s="16"/>
      <c r="S413" s="16"/>
      <c r="T413" s="16"/>
      <c r="U413" s="16"/>
      <c r="V413" s="16"/>
    </row>
    <row r="414" spans="1:22" ht="13.2">
      <c r="A414" s="12"/>
      <c r="B414" s="46"/>
      <c r="C414" s="12"/>
      <c r="D414" s="15"/>
      <c r="E414" s="15"/>
      <c r="F414" s="15"/>
      <c r="G414" s="16"/>
      <c r="H414" s="16"/>
      <c r="I414" s="16"/>
      <c r="J414" s="16"/>
      <c r="K414" s="16"/>
      <c r="L414" s="16"/>
      <c r="M414" s="15"/>
      <c r="N414" s="16"/>
      <c r="O414" s="16"/>
      <c r="P414" s="16"/>
      <c r="Q414" s="16"/>
      <c r="R414" s="16"/>
      <c r="S414" s="16"/>
      <c r="T414" s="16"/>
      <c r="U414" s="16"/>
      <c r="V414" s="16"/>
    </row>
    <row r="415" spans="1:22" ht="13.2">
      <c r="A415" s="12"/>
      <c r="B415" s="46"/>
      <c r="C415" s="12"/>
      <c r="D415" s="15"/>
      <c r="E415" s="15"/>
      <c r="F415" s="15"/>
      <c r="G415" s="16"/>
      <c r="H415" s="16"/>
      <c r="I415" s="16"/>
      <c r="J415" s="16"/>
      <c r="K415" s="16"/>
      <c r="L415" s="16"/>
      <c r="M415" s="15"/>
      <c r="N415" s="16"/>
      <c r="O415" s="16"/>
      <c r="P415" s="16"/>
      <c r="Q415" s="16"/>
      <c r="R415" s="16"/>
      <c r="S415" s="16"/>
      <c r="T415" s="16"/>
      <c r="U415" s="16"/>
      <c r="V415" s="16"/>
    </row>
    <row r="416" spans="1:22" ht="13.2">
      <c r="A416" s="12"/>
      <c r="B416" s="46"/>
      <c r="C416" s="12"/>
      <c r="D416" s="15"/>
      <c r="E416" s="15"/>
      <c r="F416" s="15"/>
      <c r="G416" s="16"/>
      <c r="H416" s="16"/>
      <c r="I416" s="16"/>
      <c r="J416" s="16"/>
      <c r="K416" s="16"/>
      <c r="L416" s="16"/>
      <c r="M416" s="15"/>
      <c r="N416" s="16"/>
      <c r="O416" s="16"/>
      <c r="P416" s="16"/>
      <c r="Q416" s="16"/>
      <c r="R416" s="16"/>
      <c r="S416" s="16"/>
      <c r="T416" s="16"/>
      <c r="U416" s="16"/>
      <c r="V416" s="16"/>
    </row>
    <row r="417" spans="1:22" ht="13.2">
      <c r="A417" s="12"/>
      <c r="B417" s="46"/>
      <c r="C417" s="12"/>
      <c r="D417" s="15"/>
      <c r="E417" s="15"/>
      <c r="F417" s="15"/>
      <c r="G417" s="16"/>
      <c r="H417" s="16"/>
      <c r="I417" s="16"/>
      <c r="J417" s="16"/>
      <c r="K417" s="16"/>
      <c r="L417" s="16"/>
      <c r="M417" s="15"/>
      <c r="N417" s="16"/>
      <c r="O417" s="16"/>
      <c r="P417" s="16"/>
      <c r="Q417" s="16"/>
      <c r="R417" s="16"/>
      <c r="S417" s="16"/>
      <c r="T417" s="16"/>
      <c r="U417" s="16"/>
      <c r="V417" s="16"/>
    </row>
    <row r="418" spans="1:22" ht="13.2">
      <c r="A418" s="12"/>
      <c r="B418" s="46"/>
      <c r="C418" s="12"/>
      <c r="D418" s="15"/>
      <c r="E418" s="15"/>
      <c r="F418" s="15"/>
      <c r="G418" s="16"/>
      <c r="H418" s="16"/>
      <c r="I418" s="16"/>
      <c r="J418" s="16"/>
      <c r="K418" s="16"/>
      <c r="L418" s="16"/>
      <c r="M418" s="15"/>
      <c r="N418" s="16"/>
      <c r="O418" s="16"/>
      <c r="P418" s="16"/>
      <c r="Q418" s="16"/>
      <c r="R418" s="16"/>
      <c r="S418" s="16"/>
      <c r="T418" s="16"/>
      <c r="U418" s="16"/>
      <c r="V418" s="16"/>
    </row>
    <row r="419" spans="1:22" ht="13.2">
      <c r="A419" s="12"/>
      <c r="B419" s="46"/>
      <c r="C419" s="12"/>
      <c r="D419" s="15"/>
      <c r="E419" s="15"/>
      <c r="F419" s="15"/>
      <c r="G419" s="16"/>
      <c r="H419" s="16"/>
      <c r="I419" s="16"/>
      <c r="J419" s="16"/>
      <c r="K419" s="16"/>
      <c r="L419" s="16"/>
      <c r="M419" s="15"/>
      <c r="N419" s="16"/>
      <c r="O419" s="16"/>
      <c r="P419" s="16"/>
      <c r="Q419" s="16"/>
      <c r="R419" s="16"/>
      <c r="S419" s="16"/>
      <c r="T419" s="16"/>
      <c r="U419" s="16"/>
      <c r="V419" s="16"/>
    </row>
    <row r="420" spans="1:22" ht="13.2">
      <c r="A420" s="12"/>
      <c r="B420" s="46"/>
      <c r="C420" s="12"/>
      <c r="D420" s="15"/>
      <c r="E420" s="15"/>
      <c r="F420" s="15"/>
      <c r="G420" s="16"/>
      <c r="H420" s="16"/>
      <c r="I420" s="16"/>
      <c r="J420" s="16"/>
      <c r="K420" s="16"/>
      <c r="L420" s="16"/>
      <c r="M420" s="15"/>
      <c r="N420" s="16"/>
      <c r="O420" s="16"/>
      <c r="P420" s="16"/>
      <c r="Q420" s="16"/>
      <c r="R420" s="16"/>
      <c r="S420" s="16"/>
      <c r="T420" s="16"/>
      <c r="U420" s="16"/>
      <c r="V420" s="16"/>
    </row>
    <row r="421" spans="1:22" ht="13.2">
      <c r="A421" s="12"/>
      <c r="B421" s="46"/>
      <c r="C421" s="12"/>
      <c r="D421" s="15"/>
      <c r="E421" s="15"/>
      <c r="F421" s="15"/>
      <c r="G421" s="16"/>
      <c r="H421" s="16"/>
      <c r="I421" s="16"/>
      <c r="J421" s="16"/>
      <c r="K421" s="16"/>
      <c r="L421" s="16"/>
      <c r="M421" s="15"/>
      <c r="N421" s="16"/>
      <c r="O421" s="16"/>
      <c r="P421" s="16"/>
      <c r="Q421" s="16"/>
      <c r="R421" s="16"/>
      <c r="S421" s="16"/>
      <c r="T421" s="16"/>
      <c r="U421" s="16"/>
      <c r="V421" s="16"/>
    </row>
    <row r="422" spans="1:22" ht="13.2">
      <c r="A422" s="12"/>
      <c r="B422" s="46"/>
      <c r="C422" s="12"/>
      <c r="D422" s="15"/>
      <c r="E422" s="15"/>
      <c r="F422" s="15"/>
      <c r="G422" s="16"/>
      <c r="H422" s="16"/>
      <c r="I422" s="16"/>
      <c r="J422" s="16"/>
      <c r="K422" s="16"/>
      <c r="L422" s="16"/>
      <c r="M422" s="15"/>
      <c r="N422" s="16"/>
      <c r="O422" s="16"/>
      <c r="P422" s="16"/>
      <c r="Q422" s="16"/>
      <c r="R422" s="16"/>
      <c r="S422" s="16"/>
      <c r="T422" s="16"/>
      <c r="U422" s="16"/>
      <c r="V422" s="16"/>
    </row>
    <row r="423" spans="1:22" ht="13.2">
      <c r="A423" s="12"/>
      <c r="B423" s="46"/>
      <c r="C423" s="12"/>
      <c r="D423" s="15"/>
      <c r="E423" s="15"/>
      <c r="F423" s="15"/>
      <c r="G423" s="16"/>
      <c r="H423" s="16"/>
      <c r="I423" s="16"/>
      <c r="J423" s="16"/>
      <c r="K423" s="16"/>
      <c r="L423" s="16"/>
      <c r="M423" s="15"/>
      <c r="N423" s="16"/>
      <c r="O423" s="16"/>
      <c r="P423" s="16"/>
      <c r="Q423" s="16"/>
      <c r="R423" s="16"/>
      <c r="S423" s="16"/>
      <c r="T423" s="16"/>
      <c r="U423" s="16"/>
      <c r="V423" s="16"/>
    </row>
    <row r="424" spans="1:22" ht="13.2">
      <c r="A424" s="12"/>
      <c r="B424" s="46"/>
      <c r="C424" s="12"/>
      <c r="D424" s="15"/>
      <c r="E424" s="15"/>
      <c r="F424" s="15"/>
      <c r="G424" s="16"/>
      <c r="H424" s="16"/>
      <c r="I424" s="16"/>
      <c r="J424" s="16"/>
      <c r="K424" s="16"/>
      <c r="L424" s="16"/>
      <c r="M424" s="15"/>
      <c r="N424" s="16"/>
      <c r="O424" s="16"/>
      <c r="P424" s="16"/>
      <c r="Q424" s="16"/>
      <c r="R424" s="16"/>
      <c r="S424" s="16"/>
      <c r="T424" s="16"/>
      <c r="U424" s="16"/>
      <c r="V424" s="16"/>
    </row>
    <row r="425" spans="1:22" ht="13.2">
      <c r="A425" s="12"/>
      <c r="B425" s="46"/>
      <c r="C425" s="12"/>
      <c r="D425" s="15"/>
      <c r="E425" s="15"/>
      <c r="F425" s="15"/>
      <c r="G425" s="16"/>
      <c r="H425" s="16"/>
      <c r="I425" s="16"/>
      <c r="J425" s="16"/>
      <c r="K425" s="16"/>
      <c r="L425" s="16"/>
      <c r="M425" s="15"/>
      <c r="N425" s="16"/>
      <c r="O425" s="16"/>
      <c r="P425" s="16"/>
      <c r="Q425" s="16"/>
      <c r="R425" s="16"/>
      <c r="S425" s="16"/>
      <c r="T425" s="16"/>
      <c r="U425" s="16"/>
      <c r="V425" s="16"/>
    </row>
    <row r="426" spans="1:22" ht="13.2">
      <c r="A426" s="12"/>
      <c r="B426" s="46"/>
      <c r="C426" s="12"/>
      <c r="D426" s="15"/>
      <c r="E426" s="15"/>
      <c r="F426" s="15"/>
      <c r="G426" s="16"/>
      <c r="H426" s="16"/>
      <c r="I426" s="16"/>
      <c r="J426" s="16"/>
      <c r="K426" s="16"/>
      <c r="L426" s="16"/>
      <c r="M426" s="15"/>
      <c r="N426" s="16"/>
      <c r="O426" s="16"/>
      <c r="P426" s="16"/>
      <c r="Q426" s="16"/>
      <c r="R426" s="16"/>
      <c r="S426" s="16"/>
      <c r="T426" s="16"/>
      <c r="U426" s="16"/>
      <c r="V426" s="16"/>
    </row>
    <row r="427" spans="1:22" ht="13.2">
      <c r="A427" s="12"/>
      <c r="B427" s="46"/>
      <c r="C427" s="12"/>
      <c r="D427" s="15"/>
      <c r="E427" s="15"/>
      <c r="F427" s="15"/>
      <c r="G427" s="16"/>
      <c r="H427" s="16"/>
      <c r="I427" s="16"/>
      <c r="J427" s="16"/>
      <c r="K427" s="16"/>
      <c r="L427" s="16"/>
      <c r="M427" s="15"/>
      <c r="N427" s="16"/>
      <c r="O427" s="16"/>
      <c r="P427" s="16"/>
      <c r="Q427" s="16"/>
      <c r="R427" s="16"/>
      <c r="S427" s="16"/>
      <c r="T427" s="16"/>
      <c r="U427" s="16"/>
      <c r="V427" s="16"/>
    </row>
    <row r="428" spans="1:22" ht="13.2">
      <c r="A428" s="12"/>
      <c r="B428" s="46"/>
      <c r="C428" s="12"/>
      <c r="D428" s="15"/>
      <c r="E428" s="15"/>
      <c r="F428" s="15"/>
      <c r="G428" s="16"/>
      <c r="H428" s="16"/>
      <c r="I428" s="16"/>
      <c r="J428" s="16"/>
      <c r="K428" s="16"/>
      <c r="L428" s="16"/>
      <c r="M428" s="15"/>
      <c r="N428" s="16"/>
      <c r="O428" s="16"/>
      <c r="P428" s="16"/>
      <c r="Q428" s="16"/>
      <c r="R428" s="16"/>
      <c r="S428" s="16"/>
      <c r="T428" s="16"/>
      <c r="U428" s="16"/>
      <c r="V428" s="16"/>
    </row>
    <row r="429" spans="1:22" ht="13.2">
      <c r="A429" s="12"/>
      <c r="B429" s="46"/>
      <c r="C429" s="12"/>
      <c r="D429" s="15"/>
      <c r="E429" s="15"/>
      <c r="F429" s="15"/>
      <c r="G429" s="16"/>
      <c r="H429" s="16"/>
      <c r="I429" s="16"/>
      <c r="J429" s="16"/>
      <c r="K429" s="16"/>
      <c r="L429" s="16"/>
      <c r="M429" s="15"/>
      <c r="N429" s="16"/>
      <c r="O429" s="16"/>
      <c r="P429" s="16"/>
      <c r="Q429" s="16"/>
      <c r="R429" s="16"/>
      <c r="S429" s="16"/>
      <c r="T429" s="16"/>
      <c r="U429" s="16"/>
      <c r="V429" s="16"/>
    </row>
    <row r="430" spans="1:22" ht="13.2">
      <c r="A430" s="12"/>
      <c r="B430" s="46"/>
      <c r="C430" s="12"/>
      <c r="D430" s="15"/>
      <c r="E430" s="15"/>
      <c r="F430" s="15"/>
      <c r="G430" s="16"/>
      <c r="H430" s="16"/>
      <c r="I430" s="16"/>
      <c r="J430" s="16"/>
      <c r="K430" s="16"/>
      <c r="L430" s="16"/>
      <c r="M430" s="15"/>
      <c r="N430" s="16"/>
      <c r="O430" s="16"/>
      <c r="P430" s="16"/>
      <c r="Q430" s="16"/>
      <c r="R430" s="16"/>
      <c r="S430" s="16"/>
      <c r="T430" s="16"/>
      <c r="U430" s="16"/>
      <c r="V430" s="16"/>
    </row>
    <row r="431" spans="1:22" ht="13.2">
      <c r="A431" s="12"/>
      <c r="B431" s="46"/>
      <c r="C431" s="12"/>
      <c r="D431" s="15"/>
      <c r="E431" s="15"/>
      <c r="F431" s="15"/>
      <c r="G431" s="16"/>
      <c r="H431" s="16"/>
      <c r="I431" s="16"/>
      <c r="J431" s="16"/>
      <c r="K431" s="16"/>
      <c r="L431" s="16"/>
      <c r="M431" s="15"/>
      <c r="N431" s="16"/>
      <c r="O431" s="16"/>
      <c r="P431" s="16"/>
      <c r="Q431" s="16"/>
      <c r="R431" s="16"/>
      <c r="S431" s="16"/>
      <c r="T431" s="16"/>
      <c r="U431" s="16"/>
      <c r="V431" s="16"/>
    </row>
    <row r="432" spans="1:22" ht="13.2">
      <c r="A432" s="12"/>
      <c r="B432" s="46"/>
      <c r="C432" s="12"/>
      <c r="D432" s="15"/>
      <c r="E432" s="15"/>
      <c r="F432" s="15"/>
      <c r="G432" s="16"/>
      <c r="H432" s="16"/>
      <c r="I432" s="16"/>
      <c r="J432" s="16"/>
      <c r="K432" s="16"/>
      <c r="L432" s="16"/>
      <c r="M432" s="15"/>
      <c r="N432" s="16"/>
      <c r="O432" s="16"/>
      <c r="P432" s="16"/>
      <c r="Q432" s="16"/>
      <c r="R432" s="16"/>
      <c r="S432" s="16"/>
      <c r="T432" s="16"/>
      <c r="U432" s="16"/>
      <c r="V432" s="16"/>
    </row>
    <row r="433" spans="1:22" ht="13.2">
      <c r="A433" s="12"/>
      <c r="B433" s="46"/>
      <c r="C433" s="12"/>
      <c r="D433" s="15"/>
      <c r="E433" s="15"/>
      <c r="F433" s="15"/>
      <c r="G433" s="16"/>
      <c r="H433" s="16"/>
      <c r="I433" s="16"/>
      <c r="J433" s="16"/>
      <c r="K433" s="16"/>
      <c r="L433" s="16"/>
      <c r="M433" s="15"/>
      <c r="N433" s="16"/>
      <c r="O433" s="16"/>
      <c r="P433" s="16"/>
      <c r="Q433" s="16"/>
      <c r="R433" s="16"/>
      <c r="S433" s="16"/>
      <c r="T433" s="16"/>
      <c r="U433" s="16"/>
      <c r="V433" s="16"/>
    </row>
    <row r="434" spans="1:22" ht="13.2">
      <c r="A434" s="12"/>
      <c r="B434" s="46"/>
      <c r="C434" s="12"/>
      <c r="D434" s="15"/>
      <c r="E434" s="15"/>
      <c r="F434" s="15"/>
      <c r="G434" s="16"/>
      <c r="H434" s="16"/>
      <c r="I434" s="16"/>
      <c r="J434" s="16"/>
      <c r="K434" s="16"/>
      <c r="L434" s="16"/>
      <c r="M434" s="15"/>
      <c r="N434" s="16"/>
      <c r="O434" s="16"/>
      <c r="P434" s="16"/>
      <c r="Q434" s="16"/>
      <c r="R434" s="16"/>
      <c r="S434" s="16"/>
      <c r="T434" s="16"/>
      <c r="U434" s="16"/>
      <c r="V434" s="16"/>
    </row>
    <row r="435" spans="1:22" ht="13.2">
      <c r="A435" s="12"/>
      <c r="B435" s="46"/>
      <c r="C435" s="12"/>
      <c r="D435" s="15"/>
      <c r="E435" s="15"/>
      <c r="F435" s="15"/>
      <c r="G435" s="16"/>
      <c r="H435" s="16"/>
      <c r="I435" s="16"/>
      <c r="J435" s="16"/>
      <c r="K435" s="16"/>
      <c r="L435" s="16"/>
      <c r="M435" s="15"/>
      <c r="N435" s="16"/>
      <c r="O435" s="16"/>
      <c r="P435" s="16"/>
      <c r="Q435" s="16"/>
      <c r="R435" s="16"/>
      <c r="S435" s="16"/>
      <c r="T435" s="16"/>
      <c r="U435" s="16"/>
      <c r="V435" s="16"/>
    </row>
    <row r="436" spans="1:22" ht="13.2">
      <c r="A436" s="12"/>
      <c r="B436" s="46"/>
      <c r="C436" s="12"/>
      <c r="D436" s="15"/>
      <c r="E436" s="15"/>
      <c r="F436" s="15"/>
      <c r="G436" s="16"/>
      <c r="H436" s="16"/>
      <c r="I436" s="16"/>
      <c r="J436" s="16"/>
      <c r="K436" s="16"/>
      <c r="L436" s="16"/>
      <c r="M436" s="15"/>
      <c r="N436" s="16"/>
      <c r="O436" s="16"/>
      <c r="P436" s="16"/>
      <c r="Q436" s="16"/>
      <c r="R436" s="16"/>
      <c r="S436" s="16"/>
      <c r="T436" s="16"/>
      <c r="U436" s="16"/>
      <c r="V436" s="16"/>
    </row>
    <row r="437" spans="1:22" ht="13.2">
      <c r="A437" s="12"/>
      <c r="B437" s="46"/>
      <c r="C437" s="12"/>
      <c r="D437" s="15"/>
      <c r="E437" s="15"/>
      <c r="F437" s="15"/>
      <c r="G437" s="16"/>
      <c r="H437" s="16"/>
      <c r="I437" s="16"/>
      <c r="J437" s="16"/>
      <c r="K437" s="16"/>
      <c r="L437" s="16"/>
      <c r="M437" s="15"/>
      <c r="N437" s="16"/>
      <c r="O437" s="16"/>
      <c r="P437" s="16"/>
      <c r="Q437" s="16"/>
      <c r="R437" s="16"/>
      <c r="S437" s="16"/>
      <c r="T437" s="16"/>
      <c r="U437" s="16"/>
      <c r="V437" s="16"/>
    </row>
    <row r="438" spans="1:22" ht="13.2">
      <c r="A438" s="12"/>
      <c r="B438" s="46"/>
      <c r="C438" s="12"/>
      <c r="D438" s="15"/>
      <c r="E438" s="15"/>
      <c r="F438" s="15"/>
      <c r="G438" s="16"/>
      <c r="H438" s="16"/>
      <c r="I438" s="16"/>
      <c r="J438" s="16"/>
      <c r="K438" s="16"/>
      <c r="L438" s="16"/>
      <c r="M438" s="15"/>
      <c r="N438" s="16"/>
      <c r="O438" s="16"/>
      <c r="P438" s="16"/>
      <c r="Q438" s="16"/>
      <c r="R438" s="16"/>
      <c r="S438" s="16"/>
      <c r="T438" s="16"/>
      <c r="U438" s="16"/>
      <c r="V438" s="16"/>
    </row>
    <row r="439" spans="1:22" ht="13.2">
      <c r="A439" s="12"/>
      <c r="B439" s="46"/>
      <c r="C439" s="12"/>
      <c r="D439" s="15"/>
      <c r="E439" s="15"/>
      <c r="F439" s="15"/>
      <c r="G439" s="16"/>
      <c r="H439" s="16"/>
      <c r="I439" s="16"/>
      <c r="J439" s="16"/>
      <c r="K439" s="16"/>
      <c r="L439" s="16"/>
      <c r="M439" s="15"/>
      <c r="N439" s="16"/>
      <c r="O439" s="16"/>
      <c r="P439" s="16"/>
      <c r="Q439" s="16"/>
      <c r="R439" s="16"/>
      <c r="S439" s="16"/>
      <c r="T439" s="16"/>
      <c r="U439" s="16"/>
      <c r="V439" s="16"/>
    </row>
    <row r="440" spans="1:22" ht="13.2">
      <c r="A440" s="12"/>
      <c r="B440" s="46"/>
      <c r="C440" s="12"/>
      <c r="D440" s="15"/>
      <c r="E440" s="15"/>
      <c r="F440" s="15"/>
      <c r="G440" s="16"/>
      <c r="H440" s="16"/>
      <c r="I440" s="16"/>
      <c r="J440" s="16"/>
      <c r="K440" s="16"/>
      <c r="L440" s="16"/>
      <c r="M440" s="15"/>
      <c r="N440" s="16"/>
      <c r="O440" s="16"/>
      <c r="P440" s="16"/>
      <c r="Q440" s="16"/>
      <c r="R440" s="16"/>
      <c r="S440" s="16"/>
      <c r="T440" s="16"/>
      <c r="U440" s="16"/>
      <c r="V440" s="16"/>
    </row>
    <row r="441" spans="1:22" ht="13.2">
      <c r="A441" s="12"/>
      <c r="B441" s="46"/>
      <c r="C441" s="12"/>
      <c r="D441" s="15"/>
      <c r="E441" s="15"/>
      <c r="F441" s="15"/>
      <c r="G441" s="16"/>
      <c r="H441" s="16"/>
      <c r="I441" s="16"/>
      <c r="J441" s="16"/>
      <c r="K441" s="16"/>
      <c r="L441" s="16"/>
      <c r="M441" s="15"/>
      <c r="N441" s="16"/>
      <c r="O441" s="16"/>
      <c r="P441" s="16"/>
      <c r="Q441" s="16"/>
      <c r="R441" s="16"/>
      <c r="S441" s="16"/>
      <c r="T441" s="16"/>
      <c r="U441" s="16"/>
      <c r="V441" s="16"/>
    </row>
    <row r="442" spans="1:22" ht="13.2">
      <c r="A442" s="12"/>
      <c r="B442" s="46"/>
      <c r="C442" s="12"/>
      <c r="D442" s="15"/>
      <c r="E442" s="15"/>
      <c r="F442" s="15"/>
      <c r="G442" s="16"/>
      <c r="H442" s="16"/>
      <c r="I442" s="16"/>
      <c r="J442" s="16"/>
      <c r="K442" s="16"/>
      <c r="L442" s="16"/>
      <c r="M442" s="15"/>
      <c r="N442" s="16"/>
      <c r="O442" s="16"/>
      <c r="P442" s="16"/>
      <c r="Q442" s="16"/>
      <c r="R442" s="16"/>
      <c r="S442" s="16"/>
      <c r="T442" s="16"/>
      <c r="U442" s="16"/>
      <c r="V442" s="16"/>
    </row>
    <row r="443" spans="1:22" ht="13.2">
      <c r="A443" s="12"/>
      <c r="B443" s="46"/>
      <c r="C443" s="12"/>
      <c r="D443" s="15"/>
      <c r="E443" s="15"/>
      <c r="F443" s="15"/>
      <c r="G443" s="16"/>
      <c r="H443" s="16"/>
      <c r="I443" s="16"/>
      <c r="J443" s="16"/>
      <c r="K443" s="16"/>
      <c r="L443" s="16"/>
      <c r="M443" s="15"/>
      <c r="N443" s="16"/>
      <c r="O443" s="16"/>
      <c r="P443" s="16"/>
      <c r="Q443" s="16"/>
      <c r="R443" s="16"/>
      <c r="S443" s="16"/>
      <c r="T443" s="16"/>
      <c r="U443" s="16"/>
      <c r="V443" s="16"/>
    </row>
    <row r="444" spans="1:22" ht="13.2">
      <c r="A444" s="12"/>
      <c r="B444" s="46"/>
      <c r="C444" s="12"/>
      <c r="D444" s="15"/>
      <c r="E444" s="15"/>
      <c r="F444" s="15"/>
      <c r="G444" s="16"/>
      <c r="H444" s="16"/>
      <c r="I444" s="16"/>
      <c r="J444" s="16"/>
      <c r="K444" s="16"/>
      <c r="L444" s="16"/>
      <c r="M444" s="15"/>
      <c r="N444" s="16"/>
      <c r="O444" s="16"/>
      <c r="P444" s="16"/>
      <c r="Q444" s="16"/>
      <c r="R444" s="16"/>
      <c r="S444" s="16"/>
      <c r="T444" s="16"/>
      <c r="U444" s="16"/>
      <c r="V444" s="16"/>
    </row>
    <row r="445" spans="1:22" ht="13.2">
      <c r="A445" s="12"/>
      <c r="B445" s="46"/>
      <c r="C445" s="12"/>
      <c r="D445" s="15"/>
      <c r="E445" s="15"/>
      <c r="F445" s="15"/>
      <c r="G445" s="16"/>
      <c r="H445" s="16"/>
      <c r="I445" s="16"/>
      <c r="J445" s="16"/>
      <c r="K445" s="16"/>
      <c r="L445" s="16"/>
      <c r="M445" s="15"/>
      <c r="N445" s="16"/>
      <c r="O445" s="16"/>
      <c r="P445" s="16"/>
      <c r="Q445" s="16"/>
      <c r="R445" s="16"/>
      <c r="S445" s="16"/>
      <c r="T445" s="16"/>
      <c r="U445" s="16"/>
      <c r="V445" s="16"/>
    </row>
    <row r="446" spans="1:22" ht="13.2">
      <c r="A446" s="12"/>
      <c r="B446" s="46"/>
      <c r="C446" s="12"/>
      <c r="D446" s="15"/>
      <c r="E446" s="15"/>
      <c r="F446" s="15"/>
      <c r="G446" s="16"/>
      <c r="H446" s="16"/>
      <c r="I446" s="16"/>
      <c r="J446" s="16"/>
      <c r="K446" s="16"/>
      <c r="L446" s="16"/>
      <c r="M446" s="15"/>
      <c r="N446" s="16"/>
      <c r="O446" s="16"/>
      <c r="P446" s="16"/>
      <c r="Q446" s="16"/>
      <c r="R446" s="16"/>
      <c r="S446" s="16"/>
      <c r="T446" s="16"/>
      <c r="U446" s="16"/>
      <c r="V446" s="16"/>
    </row>
    <row r="447" spans="1:22" ht="13.2">
      <c r="A447" s="12"/>
      <c r="B447" s="46"/>
      <c r="C447" s="12"/>
      <c r="D447" s="15"/>
      <c r="E447" s="15"/>
      <c r="F447" s="15"/>
      <c r="G447" s="16"/>
      <c r="H447" s="16"/>
      <c r="I447" s="16"/>
      <c r="J447" s="16"/>
      <c r="K447" s="16"/>
      <c r="L447" s="16"/>
      <c r="M447" s="15"/>
      <c r="N447" s="16"/>
      <c r="O447" s="16"/>
      <c r="P447" s="16"/>
      <c r="Q447" s="16"/>
      <c r="R447" s="16"/>
      <c r="S447" s="16"/>
      <c r="T447" s="16"/>
      <c r="U447" s="16"/>
      <c r="V447" s="16"/>
    </row>
    <row r="448" spans="1:22" ht="13.2">
      <c r="A448" s="12"/>
      <c r="B448" s="46"/>
      <c r="C448" s="12"/>
      <c r="D448" s="15"/>
      <c r="E448" s="15"/>
      <c r="F448" s="15"/>
      <c r="G448" s="16"/>
      <c r="H448" s="16"/>
      <c r="I448" s="16"/>
      <c r="J448" s="16"/>
      <c r="K448" s="16"/>
      <c r="L448" s="16"/>
      <c r="M448" s="15"/>
      <c r="N448" s="16"/>
      <c r="O448" s="16"/>
      <c r="P448" s="16"/>
      <c r="Q448" s="16"/>
      <c r="R448" s="16"/>
      <c r="S448" s="16"/>
      <c r="T448" s="16"/>
      <c r="U448" s="16"/>
      <c r="V448" s="16"/>
    </row>
    <row r="449" spans="1:22" ht="13.2">
      <c r="A449" s="12"/>
      <c r="B449" s="46"/>
      <c r="C449" s="12"/>
      <c r="D449" s="15"/>
      <c r="E449" s="15"/>
      <c r="F449" s="15"/>
      <c r="G449" s="16"/>
      <c r="H449" s="16"/>
      <c r="I449" s="16"/>
      <c r="J449" s="16"/>
      <c r="K449" s="16"/>
      <c r="L449" s="16"/>
      <c r="M449" s="15"/>
      <c r="N449" s="16"/>
      <c r="O449" s="16"/>
      <c r="P449" s="16"/>
      <c r="Q449" s="16"/>
      <c r="R449" s="16"/>
      <c r="S449" s="16"/>
      <c r="T449" s="16"/>
      <c r="U449" s="16"/>
      <c r="V449" s="16"/>
    </row>
    <row r="450" spans="1:22" ht="13.2">
      <c r="A450" s="12"/>
      <c r="B450" s="46"/>
      <c r="C450" s="12"/>
      <c r="D450" s="15"/>
      <c r="E450" s="15"/>
      <c r="F450" s="15"/>
      <c r="G450" s="16"/>
      <c r="H450" s="16"/>
      <c r="I450" s="16"/>
      <c r="J450" s="16"/>
      <c r="K450" s="16"/>
      <c r="L450" s="16"/>
      <c r="M450" s="15"/>
      <c r="N450" s="16"/>
      <c r="O450" s="16"/>
      <c r="P450" s="16"/>
      <c r="Q450" s="16"/>
      <c r="R450" s="16"/>
      <c r="S450" s="16"/>
      <c r="T450" s="16"/>
      <c r="U450" s="16"/>
      <c r="V450" s="16"/>
    </row>
    <row r="451" spans="1:22" ht="13.2">
      <c r="A451" s="12"/>
      <c r="B451" s="46"/>
      <c r="C451" s="12"/>
      <c r="D451" s="15"/>
      <c r="E451" s="15"/>
      <c r="F451" s="15"/>
      <c r="G451" s="16"/>
      <c r="H451" s="16"/>
      <c r="I451" s="16"/>
      <c r="J451" s="16"/>
      <c r="K451" s="16"/>
      <c r="L451" s="16"/>
      <c r="M451" s="15"/>
      <c r="N451" s="16"/>
      <c r="O451" s="16"/>
      <c r="P451" s="16"/>
      <c r="Q451" s="16"/>
      <c r="R451" s="16"/>
      <c r="S451" s="16"/>
      <c r="T451" s="16"/>
      <c r="U451" s="16"/>
      <c r="V451" s="16"/>
    </row>
    <row r="452" spans="1:22" ht="13.2">
      <c r="A452" s="12"/>
      <c r="B452" s="46"/>
      <c r="C452" s="12"/>
      <c r="D452" s="15"/>
      <c r="E452" s="15"/>
      <c r="F452" s="15"/>
      <c r="G452" s="16"/>
      <c r="H452" s="16"/>
      <c r="I452" s="16"/>
      <c r="J452" s="16"/>
      <c r="K452" s="16"/>
      <c r="L452" s="16"/>
      <c r="M452" s="15"/>
      <c r="N452" s="16"/>
      <c r="O452" s="16"/>
      <c r="P452" s="16"/>
      <c r="Q452" s="16"/>
      <c r="R452" s="16"/>
      <c r="S452" s="16"/>
      <c r="T452" s="16"/>
      <c r="U452" s="16"/>
      <c r="V452" s="16"/>
    </row>
    <row r="453" spans="1:22" ht="13.2">
      <c r="A453" s="12"/>
      <c r="B453" s="46"/>
      <c r="C453" s="12"/>
      <c r="D453" s="15"/>
      <c r="E453" s="15"/>
      <c r="F453" s="15"/>
      <c r="G453" s="16"/>
      <c r="H453" s="16"/>
      <c r="I453" s="16"/>
      <c r="J453" s="16"/>
      <c r="K453" s="16"/>
      <c r="L453" s="16"/>
      <c r="M453" s="15"/>
      <c r="N453" s="16"/>
      <c r="O453" s="16"/>
      <c r="P453" s="16"/>
      <c r="Q453" s="16"/>
      <c r="R453" s="16"/>
      <c r="S453" s="16"/>
      <c r="T453" s="16"/>
      <c r="U453" s="16"/>
      <c r="V453" s="16"/>
    </row>
    <row r="454" spans="1:22" ht="13.2">
      <c r="A454" s="12"/>
      <c r="B454" s="46"/>
      <c r="C454" s="12"/>
      <c r="D454" s="15"/>
      <c r="E454" s="15"/>
      <c r="F454" s="15"/>
      <c r="G454" s="16"/>
      <c r="H454" s="16"/>
      <c r="I454" s="16"/>
      <c r="J454" s="16"/>
      <c r="K454" s="16"/>
      <c r="L454" s="16"/>
      <c r="M454" s="15"/>
      <c r="N454" s="16"/>
      <c r="O454" s="16"/>
      <c r="P454" s="16"/>
      <c r="Q454" s="16"/>
      <c r="R454" s="16"/>
      <c r="S454" s="16"/>
      <c r="T454" s="16"/>
      <c r="U454" s="16"/>
      <c r="V454" s="16"/>
    </row>
    <row r="455" spans="1:22" ht="13.2">
      <c r="A455" s="12"/>
      <c r="B455" s="46"/>
      <c r="C455" s="12"/>
      <c r="D455" s="15"/>
      <c r="E455" s="15"/>
      <c r="F455" s="15"/>
      <c r="G455" s="16"/>
      <c r="H455" s="16"/>
      <c r="I455" s="16"/>
      <c r="J455" s="16"/>
      <c r="K455" s="16"/>
      <c r="L455" s="16"/>
      <c r="M455" s="15"/>
      <c r="N455" s="16"/>
      <c r="O455" s="16"/>
      <c r="P455" s="16"/>
      <c r="Q455" s="16"/>
      <c r="R455" s="16"/>
      <c r="S455" s="16"/>
      <c r="T455" s="16"/>
      <c r="U455" s="16"/>
      <c r="V455" s="16"/>
    </row>
    <row r="456" spans="1:22" ht="13.2">
      <c r="A456" s="12"/>
      <c r="B456" s="46"/>
      <c r="C456" s="12"/>
      <c r="D456" s="15"/>
      <c r="E456" s="15"/>
      <c r="F456" s="15"/>
      <c r="G456" s="16"/>
      <c r="H456" s="16"/>
      <c r="I456" s="16"/>
      <c r="J456" s="16"/>
      <c r="K456" s="16"/>
      <c r="L456" s="16"/>
      <c r="M456" s="15"/>
      <c r="N456" s="16"/>
      <c r="O456" s="16"/>
      <c r="P456" s="16"/>
      <c r="Q456" s="16"/>
      <c r="R456" s="16"/>
      <c r="S456" s="16"/>
      <c r="T456" s="16"/>
      <c r="U456" s="16"/>
      <c r="V456" s="16"/>
    </row>
    <row r="457" spans="1:22" ht="13.2">
      <c r="A457" s="12"/>
      <c r="B457" s="46"/>
      <c r="C457" s="12"/>
      <c r="D457" s="15"/>
      <c r="E457" s="15"/>
      <c r="F457" s="15"/>
      <c r="G457" s="16"/>
      <c r="H457" s="16"/>
      <c r="I457" s="16"/>
      <c r="J457" s="16"/>
      <c r="K457" s="16"/>
      <c r="L457" s="16"/>
      <c r="M457" s="15"/>
      <c r="N457" s="16"/>
      <c r="O457" s="16"/>
      <c r="P457" s="16"/>
      <c r="Q457" s="16"/>
      <c r="R457" s="16"/>
      <c r="S457" s="16"/>
      <c r="T457" s="16"/>
      <c r="U457" s="16"/>
      <c r="V457" s="16"/>
    </row>
    <row r="458" spans="1:22" ht="13.2">
      <c r="A458" s="12"/>
      <c r="B458" s="46"/>
      <c r="C458" s="12"/>
      <c r="D458" s="15"/>
      <c r="E458" s="15"/>
      <c r="F458" s="15"/>
      <c r="G458" s="16"/>
      <c r="H458" s="16"/>
      <c r="I458" s="16"/>
      <c r="J458" s="16"/>
      <c r="K458" s="16"/>
      <c r="L458" s="16"/>
      <c r="M458" s="15"/>
      <c r="N458" s="16"/>
      <c r="O458" s="16"/>
      <c r="P458" s="16"/>
      <c r="Q458" s="16"/>
      <c r="R458" s="16"/>
      <c r="S458" s="16"/>
      <c r="T458" s="16"/>
      <c r="U458" s="16"/>
      <c r="V458" s="16"/>
    </row>
    <row r="459" spans="1:22" ht="13.2">
      <c r="A459" s="12"/>
      <c r="B459" s="46"/>
      <c r="C459" s="12"/>
      <c r="D459" s="15"/>
      <c r="E459" s="15"/>
      <c r="F459" s="15"/>
      <c r="G459" s="16"/>
      <c r="H459" s="16"/>
      <c r="I459" s="16"/>
      <c r="J459" s="16"/>
      <c r="K459" s="16"/>
      <c r="L459" s="16"/>
      <c r="M459" s="15"/>
      <c r="N459" s="16"/>
      <c r="O459" s="16"/>
      <c r="P459" s="16"/>
      <c r="Q459" s="16"/>
      <c r="R459" s="16"/>
      <c r="S459" s="16"/>
      <c r="T459" s="16"/>
      <c r="U459" s="16"/>
      <c r="V459" s="16"/>
    </row>
    <row r="460" spans="1:22" ht="13.2">
      <c r="A460" s="12"/>
      <c r="B460" s="46"/>
      <c r="C460" s="12"/>
      <c r="D460" s="15"/>
      <c r="E460" s="15"/>
      <c r="F460" s="15"/>
      <c r="G460" s="16"/>
      <c r="H460" s="16"/>
      <c r="I460" s="16"/>
      <c r="J460" s="16"/>
      <c r="K460" s="16"/>
      <c r="L460" s="16"/>
      <c r="M460" s="15"/>
      <c r="N460" s="16"/>
      <c r="O460" s="16"/>
      <c r="P460" s="16"/>
      <c r="Q460" s="16"/>
      <c r="R460" s="16"/>
      <c r="S460" s="16"/>
      <c r="T460" s="16"/>
      <c r="U460" s="16"/>
      <c r="V460" s="16"/>
    </row>
    <row r="461" spans="1:22" ht="13.2">
      <c r="A461" s="12"/>
      <c r="B461" s="46"/>
      <c r="C461" s="12"/>
      <c r="D461" s="15"/>
      <c r="E461" s="15"/>
      <c r="F461" s="15"/>
      <c r="G461" s="16"/>
      <c r="H461" s="16"/>
      <c r="I461" s="16"/>
      <c r="J461" s="16"/>
      <c r="K461" s="16"/>
      <c r="L461" s="16"/>
      <c r="M461" s="15"/>
      <c r="N461" s="16"/>
      <c r="O461" s="16"/>
      <c r="P461" s="16"/>
      <c r="Q461" s="16"/>
      <c r="R461" s="16"/>
      <c r="S461" s="16"/>
      <c r="T461" s="16"/>
      <c r="U461" s="16"/>
      <c r="V461" s="16"/>
    </row>
    <row r="462" spans="1:22" ht="13.2">
      <c r="A462" s="12"/>
      <c r="B462" s="46"/>
      <c r="C462" s="12"/>
      <c r="D462" s="15"/>
      <c r="E462" s="15"/>
      <c r="F462" s="15"/>
      <c r="G462" s="16"/>
      <c r="H462" s="16"/>
      <c r="I462" s="16"/>
      <c r="J462" s="16"/>
      <c r="K462" s="16"/>
      <c r="L462" s="16"/>
      <c r="M462" s="15"/>
      <c r="N462" s="16"/>
      <c r="O462" s="16"/>
      <c r="P462" s="16"/>
      <c r="Q462" s="16"/>
      <c r="R462" s="16"/>
      <c r="S462" s="16"/>
      <c r="T462" s="16"/>
      <c r="U462" s="16"/>
      <c r="V462" s="16"/>
    </row>
    <row r="463" spans="1:22" ht="13.2">
      <c r="A463" s="12"/>
      <c r="B463" s="46"/>
      <c r="C463" s="12"/>
      <c r="D463" s="15"/>
      <c r="E463" s="15"/>
      <c r="F463" s="15"/>
      <c r="G463" s="16"/>
      <c r="H463" s="16"/>
      <c r="I463" s="16"/>
      <c r="J463" s="16"/>
      <c r="K463" s="16"/>
      <c r="L463" s="16"/>
      <c r="M463" s="15"/>
      <c r="N463" s="16"/>
      <c r="O463" s="16"/>
      <c r="P463" s="16"/>
      <c r="Q463" s="16"/>
      <c r="R463" s="16"/>
      <c r="S463" s="16"/>
      <c r="T463" s="16"/>
      <c r="U463" s="16"/>
      <c r="V463" s="16"/>
    </row>
    <row r="464" spans="1:22" ht="13.2">
      <c r="A464" s="12"/>
      <c r="B464" s="46"/>
      <c r="C464" s="12"/>
      <c r="D464" s="15"/>
      <c r="E464" s="15"/>
      <c r="F464" s="15"/>
      <c r="G464" s="16"/>
      <c r="H464" s="16"/>
      <c r="I464" s="16"/>
      <c r="J464" s="16"/>
      <c r="K464" s="16"/>
      <c r="L464" s="16"/>
      <c r="M464" s="15"/>
      <c r="N464" s="16"/>
      <c r="O464" s="16"/>
      <c r="P464" s="16"/>
      <c r="Q464" s="16"/>
      <c r="R464" s="16"/>
      <c r="S464" s="16"/>
      <c r="T464" s="16"/>
      <c r="U464" s="16"/>
      <c r="V464" s="16"/>
    </row>
    <row r="465" spans="1:22" ht="13.2">
      <c r="A465" s="12"/>
      <c r="B465" s="46"/>
      <c r="C465" s="12"/>
      <c r="D465" s="15"/>
      <c r="E465" s="15"/>
      <c r="F465" s="15"/>
      <c r="G465" s="16"/>
      <c r="H465" s="16"/>
      <c r="I465" s="16"/>
      <c r="J465" s="16"/>
      <c r="K465" s="16"/>
      <c r="L465" s="16"/>
      <c r="M465" s="15"/>
      <c r="N465" s="16"/>
      <c r="O465" s="16"/>
      <c r="P465" s="16"/>
      <c r="Q465" s="16"/>
      <c r="R465" s="16"/>
      <c r="S465" s="16"/>
      <c r="T465" s="16"/>
      <c r="U465" s="16"/>
      <c r="V465" s="16"/>
    </row>
    <row r="466" spans="1:22" ht="13.2">
      <c r="A466" s="12"/>
      <c r="B466" s="46"/>
      <c r="C466" s="12"/>
      <c r="D466" s="15"/>
      <c r="E466" s="15"/>
      <c r="F466" s="15"/>
      <c r="G466" s="16"/>
      <c r="H466" s="16"/>
      <c r="I466" s="16"/>
      <c r="J466" s="16"/>
      <c r="K466" s="16"/>
      <c r="L466" s="16"/>
      <c r="M466" s="15"/>
      <c r="N466" s="16"/>
      <c r="O466" s="16"/>
      <c r="P466" s="16"/>
      <c r="Q466" s="16"/>
      <c r="R466" s="16"/>
      <c r="S466" s="16"/>
      <c r="T466" s="16"/>
      <c r="U466" s="16"/>
      <c r="V466" s="16"/>
    </row>
    <row r="467" spans="1:22" ht="13.2">
      <c r="A467" s="12"/>
      <c r="B467" s="46"/>
      <c r="C467" s="12"/>
      <c r="D467" s="15"/>
      <c r="E467" s="15"/>
      <c r="F467" s="15"/>
      <c r="G467" s="16"/>
      <c r="H467" s="16"/>
      <c r="I467" s="16"/>
      <c r="J467" s="16"/>
      <c r="K467" s="16"/>
      <c r="L467" s="16"/>
      <c r="M467" s="15"/>
      <c r="N467" s="16"/>
      <c r="O467" s="16"/>
      <c r="P467" s="16"/>
      <c r="Q467" s="16"/>
      <c r="R467" s="16"/>
      <c r="S467" s="16"/>
      <c r="T467" s="16"/>
      <c r="U467" s="16"/>
      <c r="V467" s="16"/>
    </row>
    <row r="468" spans="1:22" ht="13.2">
      <c r="A468" s="12"/>
      <c r="B468" s="46"/>
      <c r="C468" s="12"/>
      <c r="D468" s="15"/>
      <c r="E468" s="15"/>
      <c r="F468" s="15"/>
      <c r="G468" s="16"/>
      <c r="H468" s="16"/>
      <c r="I468" s="16"/>
      <c r="J468" s="16"/>
      <c r="K468" s="16"/>
      <c r="L468" s="16"/>
      <c r="M468" s="15"/>
      <c r="N468" s="16"/>
      <c r="O468" s="16"/>
      <c r="P468" s="16"/>
      <c r="Q468" s="16"/>
      <c r="R468" s="16"/>
      <c r="S468" s="16"/>
      <c r="T468" s="16"/>
      <c r="U468" s="16"/>
      <c r="V468" s="16"/>
    </row>
    <row r="469" spans="1:22" ht="13.2">
      <c r="A469" s="12"/>
      <c r="B469" s="46"/>
      <c r="C469" s="12"/>
      <c r="D469" s="15"/>
      <c r="E469" s="15"/>
      <c r="F469" s="15"/>
      <c r="G469" s="16"/>
      <c r="H469" s="16"/>
      <c r="I469" s="16"/>
      <c r="J469" s="16"/>
      <c r="K469" s="16"/>
      <c r="L469" s="16"/>
      <c r="M469" s="15"/>
      <c r="N469" s="16"/>
      <c r="O469" s="16"/>
      <c r="P469" s="16"/>
      <c r="Q469" s="16"/>
      <c r="R469" s="16"/>
      <c r="S469" s="16"/>
      <c r="T469" s="16"/>
      <c r="U469" s="16"/>
      <c r="V469" s="16"/>
    </row>
    <row r="470" spans="1:22" ht="13.2">
      <c r="A470" s="12"/>
      <c r="B470" s="46"/>
      <c r="C470" s="12"/>
      <c r="D470" s="15"/>
      <c r="E470" s="15"/>
      <c r="F470" s="15"/>
      <c r="G470" s="16"/>
      <c r="H470" s="16"/>
      <c r="I470" s="16"/>
      <c r="J470" s="16"/>
      <c r="K470" s="16"/>
      <c r="L470" s="16"/>
      <c r="M470" s="15"/>
      <c r="N470" s="16"/>
      <c r="O470" s="16"/>
      <c r="P470" s="16"/>
      <c r="Q470" s="16"/>
      <c r="R470" s="16"/>
      <c r="S470" s="16"/>
      <c r="T470" s="16"/>
      <c r="U470" s="16"/>
      <c r="V470" s="16"/>
    </row>
    <row r="471" spans="1:22" ht="13.2">
      <c r="A471" s="12"/>
      <c r="B471" s="46"/>
      <c r="C471" s="12"/>
      <c r="D471" s="15"/>
      <c r="E471" s="15"/>
      <c r="F471" s="15"/>
      <c r="G471" s="16"/>
      <c r="H471" s="16"/>
      <c r="I471" s="16"/>
      <c r="J471" s="16"/>
      <c r="K471" s="16"/>
      <c r="L471" s="16"/>
      <c r="M471" s="15"/>
      <c r="N471" s="16"/>
      <c r="O471" s="16"/>
      <c r="P471" s="16"/>
      <c r="Q471" s="16"/>
      <c r="R471" s="16"/>
      <c r="S471" s="16"/>
      <c r="T471" s="16"/>
      <c r="U471" s="16"/>
      <c r="V471" s="16"/>
    </row>
    <row r="472" spans="1:22" ht="13.2">
      <c r="A472" s="12"/>
      <c r="B472" s="46"/>
      <c r="C472" s="12"/>
      <c r="D472" s="15"/>
      <c r="E472" s="15"/>
      <c r="F472" s="15"/>
      <c r="G472" s="16"/>
      <c r="H472" s="16"/>
      <c r="I472" s="16"/>
      <c r="J472" s="16"/>
      <c r="K472" s="16"/>
      <c r="L472" s="16"/>
      <c r="M472" s="15"/>
      <c r="N472" s="16"/>
      <c r="O472" s="16"/>
      <c r="P472" s="16"/>
      <c r="Q472" s="16"/>
      <c r="R472" s="16"/>
      <c r="S472" s="16"/>
      <c r="T472" s="16"/>
      <c r="U472" s="16"/>
      <c r="V472" s="16"/>
    </row>
    <row r="473" spans="1:22" ht="13.2">
      <c r="A473" s="12"/>
      <c r="B473" s="46"/>
      <c r="C473" s="12"/>
      <c r="D473" s="15"/>
      <c r="E473" s="15"/>
      <c r="F473" s="15"/>
      <c r="G473" s="16"/>
      <c r="H473" s="16"/>
      <c r="I473" s="16"/>
      <c r="J473" s="16"/>
      <c r="K473" s="16"/>
      <c r="L473" s="16"/>
      <c r="M473" s="15"/>
      <c r="N473" s="16"/>
      <c r="O473" s="16"/>
      <c r="P473" s="16"/>
      <c r="Q473" s="16"/>
      <c r="R473" s="16"/>
      <c r="S473" s="16"/>
      <c r="T473" s="16"/>
      <c r="U473" s="16"/>
      <c r="V473" s="16"/>
    </row>
    <row r="474" spans="1:22" ht="13.2">
      <c r="A474" s="12"/>
      <c r="B474" s="46"/>
      <c r="C474" s="12"/>
      <c r="D474" s="15"/>
      <c r="E474" s="15"/>
      <c r="F474" s="15"/>
      <c r="G474" s="16"/>
      <c r="H474" s="16"/>
      <c r="I474" s="16"/>
      <c r="J474" s="16"/>
      <c r="K474" s="16"/>
      <c r="L474" s="16"/>
      <c r="M474" s="15"/>
      <c r="N474" s="16"/>
      <c r="O474" s="16"/>
      <c r="P474" s="16"/>
      <c r="Q474" s="16"/>
      <c r="R474" s="16"/>
      <c r="S474" s="16"/>
      <c r="T474" s="16"/>
      <c r="U474" s="16"/>
      <c r="V474" s="16"/>
    </row>
    <row r="475" spans="1:22" ht="13.2">
      <c r="A475" s="12"/>
      <c r="B475" s="46"/>
      <c r="C475" s="12"/>
      <c r="D475" s="15"/>
      <c r="E475" s="15"/>
      <c r="F475" s="15"/>
      <c r="G475" s="16"/>
      <c r="H475" s="16"/>
      <c r="I475" s="16"/>
      <c r="J475" s="16"/>
      <c r="K475" s="16"/>
      <c r="L475" s="16"/>
      <c r="M475" s="15"/>
      <c r="N475" s="16"/>
      <c r="O475" s="16"/>
      <c r="P475" s="16"/>
      <c r="Q475" s="16"/>
      <c r="R475" s="16"/>
      <c r="S475" s="16"/>
      <c r="T475" s="16"/>
      <c r="U475" s="16"/>
      <c r="V475" s="16"/>
    </row>
    <row r="476" spans="1:22" ht="13.2">
      <c r="A476" s="12"/>
      <c r="B476" s="46"/>
      <c r="C476" s="12"/>
      <c r="D476" s="15"/>
      <c r="E476" s="15"/>
      <c r="F476" s="15"/>
      <c r="G476" s="16"/>
      <c r="H476" s="16"/>
      <c r="I476" s="16"/>
      <c r="J476" s="16"/>
      <c r="K476" s="16"/>
      <c r="L476" s="16"/>
      <c r="M476" s="15"/>
      <c r="N476" s="16"/>
      <c r="O476" s="16"/>
      <c r="P476" s="16"/>
      <c r="Q476" s="16"/>
      <c r="R476" s="16"/>
      <c r="S476" s="16"/>
      <c r="T476" s="16"/>
      <c r="U476" s="16"/>
      <c r="V476" s="16"/>
    </row>
    <row r="477" spans="1:22" ht="13.2">
      <c r="A477" s="12"/>
      <c r="B477" s="46"/>
      <c r="C477" s="12"/>
      <c r="D477" s="15"/>
      <c r="E477" s="15"/>
      <c r="F477" s="15"/>
      <c r="G477" s="16"/>
      <c r="H477" s="16"/>
      <c r="I477" s="16"/>
      <c r="J477" s="16"/>
      <c r="K477" s="16"/>
      <c r="L477" s="16"/>
      <c r="M477" s="15"/>
      <c r="N477" s="16"/>
      <c r="O477" s="16"/>
      <c r="P477" s="16"/>
      <c r="Q477" s="16"/>
      <c r="R477" s="16"/>
      <c r="S477" s="16"/>
      <c r="T477" s="16"/>
      <c r="U477" s="16"/>
      <c r="V477" s="16"/>
    </row>
    <row r="478" spans="1:22" ht="13.2">
      <c r="A478" s="12"/>
      <c r="B478" s="46"/>
      <c r="C478" s="12"/>
      <c r="D478" s="15"/>
      <c r="E478" s="15"/>
      <c r="F478" s="15"/>
      <c r="G478" s="16"/>
      <c r="H478" s="16"/>
      <c r="I478" s="16"/>
      <c r="J478" s="16"/>
      <c r="K478" s="16"/>
      <c r="L478" s="16"/>
      <c r="M478" s="15"/>
      <c r="N478" s="16"/>
      <c r="O478" s="16"/>
      <c r="P478" s="16"/>
      <c r="Q478" s="16"/>
      <c r="R478" s="16"/>
      <c r="S478" s="16"/>
      <c r="T478" s="16"/>
      <c r="U478" s="16"/>
      <c r="V478" s="16"/>
    </row>
    <row r="479" spans="1:22" ht="13.2">
      <c r="A479" s="12"/>
      <c r="B479" s="46"/>
      <c r="C479" s="12"/>
      <c r="D479" s="15"/>
      <c r="E479" s="15"/>
      <c r="F479" s="15"/>
      <c r="G479" s="16"/>
      <c r="H479" s="16"/>
      <c r="I479" s="16"/>
      <c r="J479" s="16"/>
      <c r="K479" s="16"/>
      <c r="L479" s="16"/>
      <c r="M479" s="15"/>
      <c r="N479" s="16"/>
      <c r="O479" s="16"/>
      <c r="P479" s="16"/>
      <c r="Q479" s="16"/>
      <c r="R479" s="16"/>
      <c r="S479" s="16"/>
      <c r="T479" s="16"/>
      <c r="U479" s="16"/>
      <c r="V479" s="16"/>
    </row>
    <row r="480" spans="1:22" ht="13.2">
      <c r="A480" s="12"/>
      <c r="B480" s="46"/>
      <c r="C480" s="12"/>
      <c r="D480" s="15"/>
      <c r="E480" s="15"/>
      <c r="F480" s="15"/>
      <c r="G480" s="16"/>
      <c r="H480" s="16"/>
      <c r="I480" s="16"/>
      <c r="J480" s="16"/>
      <c r="K480" s="16"/>
      <c r="L480" s="16"/>
      <c r="M480" s="15"/>
      <c r="N480" s="16"/>
      <c r="O480" s="16"/>
      <c r="P480" s="16"/>
      <c r="Q480" s="16"/>
      <c r="R480" s="16"/>
      <c r="S480" s="16"/>
      <c r="T480" s="16"/>
      <c r="U480" s="16"/>
      <c r="V480" s="16"/>
    </row>
    <row r="481" spans="1:22" ht="13.2">
      <c r="A481" s="12"/>
      <c r="B481" s="46"/>
      <c r="C481" s="12"/>
      <c r="D481" s="15"/>
      <c r="E481" s="15"/>
      <c r="F481" s="15"/>
      <c r="G481" s="16"/>
      <c r="H481" s="16"/>
      <c r="I481" s="16"/>
      <c r="J481" s="16"/>
      <c r="K481" s="16"/>
      <c r="L481" s="16"/>
      <c r="M481" s="15"/>
      <c r="N481" s="16"/>
      <c r="O481" s="16"/>
      <c r="P481" s="16"/>
      <c r="Q481" s="16"/>
      <c r="R481" s="16"/>
      <c r="S481" s="16"/>
      <c r="T481" s="16"/>
      <c r="U481" s="16"/>
      <c r="V481" s="16"/>
    </row>
    <row r="482" spans="1:22" ht="13.2">
      <c r="A482" s="12"/>
      <c r="B482" s="46"/>
      <c r="C482" s="12"/>
      <c r="D482" s="15"/>
      <c r="E482" s="15"/>
      <c r="F482" s="15"/>
      <c r="G482" s="16"/>
      <c r="H482" s="16"/>
      <c r="I482" s="16"/>
      <c r="J482" s="16"/>
      <c r="K482" s="16"/>
      <c r="L482" s="16"/>
      <c r="M482" s="15"/>
      <c r="N482" s="16"/>
      <c r="O482" s="16"/>
      <c r="P482" s="16"/>
      <c r="Q482" s="16"/>
      <c r="R482" s="16"/>
      <c r="S482" s="16"/>
      <c r="T482" s="16"/>
      <c r="U482" s="16"/>
      <c r="V482" s="16"/>
    </row>
    <row r="483" spans="1:22" ht="13.2">
      <c r="A483" s="12"/>
      <c r="B483" s="46"/>
      <c r="C483" s="12"/>
      <c r="D483" s="15"/>
      <c r="E483" s="15"/>
      <c r="F483" s="15"/>
      <c r="G483" s="16"/>
      <c r="H483" s="16"/>
      <c r="I483" s="16"/>
      <c r="J483" s="16"/>
      <c r="K483" s="16"/>
      <c r="L483" s="16"/>
      <c r="M483" s="15"/>
      <c r="N483" s="16"/>
      <c r="O483" s="16"/>
      <c r="P483" s="16"/>
      <c r="Q483" s="16"/>
      <c r="R483" s="16"/>
      <c r="S483" s="16"/>
      <c r="T483" s="16"/>
      <c r="U483" s="16"/>
      <c r="V483" s="16"/>
    </row>
    <row r="484" spans="1:22" ht="13.2">
      <c r="A484" s="12"/>
      <c r="B484" s="46"/>
      <c r="C484" s="12"/>
      <c r="D484" s="15"/>
      <c r="E484" s="15"/>
      <c r="F484" s="15"/>
      <c r="G484" s="16"/>
      <c r="H484" s="16"/>
      <c r="I484" s="16"/>
      <c r="J484" s="16"/>
      <c r="K484" s="16"/>
      <c r="L484" s="16"/>
      <c r="M484" s="15"/>
      <c r="N484" s="16"/>
      <c r="O484" s="16"/>
      <c r="P484" s="16"/>
      <c r="Q484" s="16"/>
      <c r="R484" s="16"/>
      <c r="S484" s="16"/>
      <c r="T484" s="16"/>
      <c r="U484" s="16"/>
      <c r="V484" s="16"/>
    </row>
    <row r="485" spans="1:22" ht="13.2">
      <c r="A485" s="12"/>
      <c r="B485" s="46"/>
      <c r="C485" s="12"/>
      <c r="D485" s="15"/>
      <c r="E485" s="15"/>
      <c r="F485" s="15"/>
      <c r="G485" s="16"/>
      <c r="H485" s="16"/>
      <c r="I485" s="16"/>
      <c r="J485" s="16"/>
      <c r="K485" s="16"/>
      <c r="L485" s="16"/>
      <c r="M485" s="15"/>
      <c r="N485" s="16"/>
      <c r="O485" s="16"/>
      <c r="P485" s="16"/>
      <c r="Q485" s="16"/>
      <c r="R485" s="16"/>
      <c r="S485" s="16"/>
      <c r="T485" s="16"/>
      <c r="U485" s="16"/>
      <c r="V485" s="16"/>
    </row>
    <row r="486" spans="1:22" ht="13.2">
      <c r="A486" s="12"/>
      <c r="B486" s="46"/>
      <c r="C486" s="12"/>
      <c r="D486" s="15"/>
      <c r="E486" s="15"/>
      <c r="F486" s="15"/>
      <c r="G486" s="16"/>
      <c r="H486" s="16"/>
      <c r="I486" s="16"/>
      <c r="J486" s="16"/>
      <c r="K486" s="16"/>
      <c r="L486" s="16"/>
      <c r="M486" s="15"/>
      <c r="N486" s="16"/>
      <c r="O486" s="16"/>
      <c r="P486" s="16"/>
      <c r="Q486" s="16"/>
      <c r="R486" s="16"/>
      <c r="S486" s="16"/>
      <c r="T486" s="16"/>
      <c r="U486" s="16"/>
      <c r="V486" s="16"/>
    </row>
    <row r="487" spans="1:22" ht="13.2">
      <c r="A487" s="12"/>
      <c r="B487" s="46"/>
      <c r="C487" s="12"/>
      <c r="D487" s="15"/>
      <c r="E487" s="15"/>
      <c r="F487" s="15"/>
      <c r="G487" s="16"/>
      <c r="H487" s="16"/>
      <c r="I487" s="16"/>
      <c r="J487" s="16"/>
      <c r="K487" s="16"/>
      <c r="L487" s="16"/>
      <c r="M487" s="15"/>
      <c r="N487" s="16"/>
      <c r="O487" s="16"/>
      <c r="P487" s="16"/>
      <c r="Q487" s="16"/>
      <c r="R487" s="16"/>
      <c r="S487" s="16"/>
      <c r="T487" s="16"/>
      <c r="U487" s="16"/>
      <c r="V487" s="16"/>
    </row>
    <row r="488" spans="1:22" ht="13.2">
      <c r="A488" s="12"/>
      <c r="B488" s="46"/>
      <c r="C488" s="12"/>
      <c r="D488" s="15"/>
      <c r="E488" s="15"/>
      <c r="F488" s="15"/>
      <c r="G488" s="16"/>
      <c r="H488" s="16"/>
      <c r="I488" s="16"/>
      <c r="J488" s="16"/>
      <c r="K488" s="16"/>
      <c r="L488" s="16"/>
      <c r="M488" s="15"/>
      <c r="N488" s="16"/>
      <c r="O488" s="16"/>
      <c r="P488" s="16"/>
      <c r="Q488" s="16"/>
      <c r="R488" s="16"/>
      <c r="S488" s="16"/>
      <c r="T488" s="16"/>
      <c r="U488" s="16"/>
      <c r="V488" s="16"/>
    </row>
    <row r="489" spans="1:22" ht="13.2">
      <c r="A489" s="12"/>
      <c r="B489" s="46"/>
      <c r="C489" s="12"/>
      <c r="D489" s="15"/>
      <c r="E489" s="15"/>
      <c r="F489" s="15"/>
      <c r="G489" s="16"/>
      <c r="H489" s="16"/>
      <c r="I489" s="16"/>
      <c r="J489" s="16"/>
      <c r="K489" s="16"/>
      <c r="L489" s="16"/>
      <c r="M489" s="15"/>
      <c r="N489" s="16"/>
      <c r="O489" s="16"/>
      <c r="P489" s="16"/>
      <c r="Q489" s="16"/>
      <c r="R489" s="16"/>
      <c r="S489" s="16"/>
      <c r="T489" s="16"/>
      <c r="U489" s="16"/>
      <c r="V489" s="16"/>
    </row>
    <row r="490" spans="1:22" ht="13.2">
      <c r="A490" s="12"/>
      <c r="B490" s="46"/>
      <c r="C490" s="12"/>
      <c r="D490" s="15"/>
      <c r="E490" s="15"/>
      <c r="F490" s="15"/>
      <c r="G490" s="16"/>
      <c r="H490" s="16"/>
      <c r="I490" s="16"/>
      <c r="J490" s="16"/>
      <c r="K490" s="16"/>
      <c r="L490" s="16"/>
      <c r="M490" s="15"/>
      <c r="N490" s="16"/>
      <c r="O490" s="16"/>
      <c r="P490" s="16"/>
      <c r="Q490" s="16"/>
      <c r="R490" s="16"/>
      <c r="S490" s="16"/>
      <c r="T490" s="16"/>
      <c r="U490" s="16"/>
      <c r="V490" s="16"/>
    </row>
    <row r="491" spans="1:22" ht="13.2">
      <c r="A491" s="12"/>
      <c r="B491" s="46"/>
      <c r="C491" s="12"/>
      <c r="D491" s="15"/>
      <c r="E491" s="15"/>
      <c r="F491" s="15"/>
      <c r="G491" s="16"/>
      <c r="H491" s="16"/>
      <c r="I491" s="16"/>
      <c r="J491" s="16"/>
      <c r="K491" s="16"/>
      <c r="L491" s="16"/>
      <c r="M491" s="15"/>
      <c r="N491" s="16"/>
      <c r="O491" s="16"/>
      <c r="P491" s="16"/>
      <c r="Q491" s="16"/>
      <c r="R491" s="16"/>
      <c r="S491" s="16"/>
      <c r="T491" s="16"/>
      <c r="U491" s="16"/>
      <c r="V491" s="16"/>
    </row>
    <row r="492" spans="1:22" ht="13.2">
      <c r="A492" s="12"/>
      <c r="B492" s="46"/>
      <c r="C492" s="12"/>
      <c r="D492" s="15"/>
      <c r="E492" s="15"/>
      <c r="F492" s="15"/>
      <c r="G492" s="16"/>
      <c r="H492" s="16"/>
      <c r="I492" s="16"/>
      <c r="J492" s="16"/>
      <c r="K492" s="16"/>
      <c r="L492" s="16"/>
      <c r="M492" s="15"/>
      <c r="N492" s="16"/>
      <c r="O492" s="16"/>
      <c r="P492" s="16"/>
      <c r="Q492" s="16"/>
      <c r="R492" s="16"/>
      <c r="S492" s="16"/>
      <c r="T492" s="16"/>
      <c r="U492" s="16"/>
      <c r="V492" s="16"/>
    </row>
    <row r="493" spans="1:22" ht="13.2">
      <c r="A493" s="12"/>
      <c r="B493" s="46"/>
      <c r="C493" s="12"/>
      <c r="D493" s="15"/>
      <c r="E493" s="15"/>
      <c r="F493" s="15"/>
      <c r="G493" s="16"/>
      <c r="H493" s="16"/>
      <c r="I493" s="16"/>
      <c r="J493" s="16"/>
      <c r="K493" s="16"/>
      <c r="L493" s="16"/>
      <c r="M493" s="15"/>
      <c r="N493" s="16"/>
      <c r="O493" s="16"/>
      <c r="P493" s="16"/>
      <c r="Q493" s="16"/>
      <c r="R493" s="16"/>
      <c r="S493" s="16"/>
      <c r="T493" s="16"/>
      <c r="U493" s="16"/>
      <c r="V493" s="16"/>
    </row>
    <row r="494" spans="1:22" ht="13.2">
      <c r="A494" s="12"/>
      <c r="B494" s="46"/>
      <c r="C494" s="12"/>
      <c r="D494" s="15"/>
      <c r="E494" s="15"/>
      <c r="F494" s="15"/>
      <c r="G494" s="16"/>
      <c r="H494" s="16"/>
      <c r="I494" s="16"/>
      <c r="J494" s="16"/>
      <c r="K494" s="16"/>
      <c r="L494" s="16"/>
      <c r="M494" s="15"/>
      <c r="N494" s="16"/>
      <c r="O494" s="16"/>
      <c r="P494" s="16"/>
      <c r="Q494" s="16"/>
      <c r="R494" s="16"/>
      <c r="S494" s="16"/>
      <c r="T494" s="16"/>
      <c r="U494" s="16"/>
      <c r="V494" s="16"/>
    </row>
    <row r="495" spans="1:22" ht="13.2">
      <c r="A495" s="12"/>
      <c r="B495" s="46"/>
      <c r="C495" s="12"/>
      <c r="D495" s="15"/>
      <c r="E495" s="15"/>
      <c r="F495" s="15"/>
      <c r="G495" s="16"/>
      <c r="H495" s="16"/>
      <c r="I495" s="16"/>
      <c r="J495" s="16"/>
      <c r="K495" s="16"/>
      <c r="L495" s="16"/>
      <c r="M495" s="15"/>
      <c r="N495" s="16"/>
      <c r="O495" s="16"/>
      <c r="P495" s="16"/>
      <c r="Q495" s="16"/>
      <c r="R495" s="16"/>
      <c r="S495" s="16"/>
      <c r="T495" s="16"/>
      <c r="U495" s="16"/>
      <c r="V495" s="16"/>
    </row>
    <row r="496" spans="1:22" ht="13.2">
      <c r="A496" s="12"/>
      <c r="B496" s="46"/>
      <c r="C496" s="12"/>
      <c r="D496" s="15"/>
      <c r="E496" s="15"/>
      <c r="F496" s="15"/>
      <c r="G496" s="16"/>
      <c r="H496" s="16"/>
      <c r="I496" s="16"/>
      <c r="J496" s="16"/>
      <c r="K496" s="16"/>
      <c r="L496" s="16"/>
      <c r="M496" s="15"/>
      <c r="N496" s="16"/>
      <c r="O496" s="16"/>
      <c r="P496" s="16"/>
      <c r="Q496" s="16"/>
      <c r="R496" s="16"/>
      <c r="S496" s="16"/>
      <c r="T496" s="16"/>
      <c r="U496" s="16"/>
      <c r="V496" s="16"/>
    </row>
    <row r="497" spans="1:22" ht="13.2">
      <c r="A497" s="12"/>
      <c r="B497" s="46"/>
      <c r="C497" s="12"/>
      <c r="D497" s="15"/>
      <c r="E497" s="15"/>
      <c r="F497" s="15"/>
      <c r="G497" s="16"/>
      <c r="H497" s="16"/>
      <c r="I497" s="16"/>
      <c r="J497" s="16"/>
      <c r="K497" s="16"/>
      <c r="L497" s="16"/>
      <c r="M497" s="15"/>
      <c r="N497" s="16"/>
      <c r="O497" s="16"/>
      <c r="P497" s="16"/>
      <c r="Q497" s="16"/>
      <c r="R497" s="16"/>
      <c r="S497" s="16"/>
      <c r="T497" s="16"/>
      <c r="U497" s="16"/>
      <c r="V497" s="16"/>
    </row>
    <row r="498" spans="1:22" ht="13.2">
      <c r="A498" s="12"/>
      <c r="B498" s="46"/>
      <c r="C498" s="12"/>
      <c r="D498" s="15"/>
      <c r="E498" s="15"/>
      <c r="F498" s="15"/>
      <c r="G498" s="16"/>
      <c r="H498" s="16"/>
      <c r="I498" s="16"/>
      <c r="J498" s="16"/>
      <c r="K498" s="16"/>
      <c r="L498" s="16"/>
      <c r="M498" s="15"/>
      <c r="N498" s="16"/>
      <c r="O498" s="16"/>
      <c r="P498" s="16"/>
      <c r="Q498" s="16"/>
      <c r="R498" s="16"/>
      <c r="S498" s="16"/>
      <c r="T498" s="16"/>
      <c r="U498" s="16"/>
      <c r="V498" s="16"/>
    </row>
    <row r="499" spans="1:22" ht="13.2">
      <c r="A499" s="12"/>
      <c r="B499" s="46"/>
      <c r="C499" s="12"/>
      <c r="D499" s="15"/>
      <c r="E499" s="15"/>
      <c r="F499" s="15"/>
      <c r="G499" s="16"/>
      <c r="H499" s="16"/>
      <c r="I499" s="16"/>
      <c r="J499" s="16"/>
      <c r="K499" s="16"/>
      <c r="L499" s="16"/>
      <c r="M499" s="15"/>
      <c r="N499" s="16"/>
      <c r="O499" s="16"/>
      <c r="P499" s="16"/>
      <c r="Q499" s="16"/>
      <c r="R499" s="16"/>
      <c r="S499" s="16"/>
      <c r="T499" s="16"/>
      <c r="U499" s="16"/>
      <c r="V499" s="16"/>
    </row>
    <row r="500" spans="1:22" ht="13.2">
      <c r="A500" s="12"/>
      <c r="B500" s="46"/>
      <c r="C500" s="12"/>
      <c r="D500" s="15"/>
      <c r="E500" s="15"/>
      <c r="F500" s="15"/>
      <c r="G500" s="16"/>
      <c r="H500" s="16"/>
      <c r="I500" s="16"/>
      <c r="J500" s="16"/>
      <c r="K500" s="16"/>
      <c r="L500" s="16"/>
      <c r="M500" s="15"/>
      <c r="N500" s="16"/>
      <c r="O500" s="16"/>
      <c r="P500" s="16"/>
      <c r="Q500" s="16"/>
      <c r="R500" s="16"/>
      <c r="S500" s="16"/>
      <c r="T500" s="16"/>
      <c r="U500" s="16"/>
      <c r="V500" s="16"/>
    </row>
    <row r="501" spans="1:22" ht="13.2">
      <c r="A501" s="12"/>
      <c r="B501" s="46"/>
      <c r="C501" s="12"/>
      <c r="D501" s="15"/>
      <c r="E501" s="15"/>
      <c r="F501" s="15"/>
      <c r="G501" s="16"/>
      <c r="H501" s="16"/>
      <c r="I501" s="16"/>
      <c r="J501" s="16"/>
      <c r="K501" s="16"/>
      <c r="L501" s="16"/>
      <c r="M501" s="15"/>
      <c r="N501" s="16"/>
      <c r="O501" s="16"/>
      <c r="P501" s="16"/>
      <c r="Q501" s="16"/>
      <c r="R501" s="16"/>
      <c r="S501" s="16"/>
      <c r="T501" s="16"/>
      <c r="U501" s="16"/>
      <c r="V501" s="16"/>
    </row>
    <row r="502" spans="1:22" ht="13.2">
      <c r="A502" s="12"/>
      <c r="B502" s="46"/>
      <c r="C502" s="12"/>
      <c r="D502" s="15"/>
      <c r="E502" s="15"/>
      <c r="F502" s="15"/>
      <c r="G502" s="16"/>
      <c r="H502" s="16"/>
      <c r="I502" s="16"/>
      <c r="J502" s="16"/>
      <c r="K502" s="16"/>
      <c r="L502" s="16"/>
      <c r="M502" s="15"/>
      <c r="N502" s="16"/>
      <c r="O502" s="16"/>
      <c r="P502" s="16"/>
      <c r="Q502" s="16"/>
      <c r="R502" s="16"/>
      <c r="S502" s="16"/>
      <c r="T502" s="16"/>
      <c r="U502" s="16"/>
      <c r="V502" s="16"/>
    </row>
    <row r="503" spans="1:22" ht="13.2">
      <c r="A503" s="12"/>
      <c r="B503" s="46"/>
      <c r="C503" s="12"/>
      <c r="D503" s="15"/>
      <c r="E503" s="15"/>
      <c r="F503" s="15"/>
      <c r="G503" s="16"/>
      <c r="H503" s="16"/>
      <c r="I503" s="16"/>
      <c r="J503" s="16"/>
      <c r="K503" s="16"/>
      <c r="L503" s="16"/>
      <c r="M503" s="15"/>
      <c r="N503" s="16"/>
      <c r="O503" s="16"/>
      <c r="P503" s="16"/>
      <c r="Q503" s="16"/>
      <c r="R503" s="16"/>
      <c r="S503" s="16"/>
      <c r="T503" s="16"/>
      <c r="U503" s="16"/>
      <c r="V503" s="16"/>
    </row>
    <row r="504" spans="1:22" ht="13.2">
      <c r="A504" s="12"/>
      <c r="B504" s="46"/>
      <c r="C504" s="12"/>
      <c r="D504" s="15"/>
      <c r="E504" s="15"/>
      <c r="F504" s="15"/>
      <c r="G504" s="16"/>
      <c r="H504" s="16"/>
      <c r="I504" s="16"/>
      <c r="J504" s="16"/>
      <c r="K504" s="16"/>
      <c r="L504" s="16"/>
      <c r="M504" s="15"/>
      <c r="N504" s="16"/>
      <c r="O504" s="16"/>
      <c r="P504" s="16"/>
      <c r="Q504" s="16"/>
      <c r="R504" s="16"/>
      <c r="S504" s="16"/>
      <c r="T504" s="16"/>
      <c r="U504" s="16"/>
      <c r="V504" s="16"/>
    </row>
    <row r="505" spans="1:22" ht="13.2">
      <c r="A505" s="12"/>
      <c r="B505" s="46"/>
      <c r="C505" s="12"/>
      <c r="D505" s="15"/>
      <c r="E505" s="15"/>
      <c r="F505" s="15"/>
      <c r="G505" s="16"/>
      <c r="H505" s="16"/>
      <c r="I505" s="16"/>
      <c r="J505" s="16"/>
      <c r="K505" s="16"/>
      <c r="L505" s="16"/>
      <c r="M505" s="15"/>
      <c r="N505" s="16"/>
      <c r="O505" s="16"/>
      <c r="P505" s="16"/>
      <c r="Q505" s="16"/>
      <c r="R505" s="16"/>
      <c r="S505" s="16"/>
      <c r="T505" s="16"/>
      <c r="U505" s="16"/>
      <c r="V505" s="16"/>
    </row>
    <row r="506" spans="1:22" ht="13.2">
      <c r="A506" s="12"/>
      <c r="B506" s="46"/>
      <c r="C506" s="12"/>
      <c r="D506" s="15"/>
      <c r="E506" s="15"/>
      <c r="F506" s="15"/>
      <c r="G506" s="16"/>
      <c r="H506" s="16"/>
      <c r="I506" s="16"/>
      <c r="J506" s="16"/>
      <c r="K506" s="16"/>
      <c r="L506" s="16"/>
      <c r="M506" s="15"/>
      <c r="N506" s="16"/>
      <c r="O506" s="16"/>
      <c r="P506" s="16"/>
      <c r="Q506" s="16"/>
      <c r="R506" s="16"/>
      <c r="S506" s="16"/>
      <c r="T506" s="16"/>
      <c r="U506" s="16"/>
      <c r="V506" s="16"/>
    </row>
    <row r="507" spans="1:22" ht="13.2">
      <c r="A507" s="12"/>
      <c r="B507" s="46"/>
      <c r="C507" s="12"/>
      <c r="D507" s="15"/>
      <c r="E507" s="15"/>
      <c r="F507" s="15"/>
      <c r="G507" s="16"/>
      <c r="H507" s="16"/>
      <c r="I507" s="16"/>
      <c r="J507" s="16"/>
      <c r="K507" s="16"/>
      <c r="L507" s="16"/>
      <c r="M507" s="15"/>
      <c r="N507" s="16"/>
      <c r="O507" s="16"/>
      <c r="P507" s="16"/>
      <c r="Q507" s="16"/>
      <c r="R507" s="16"/>
      <c r="S507" s="16"/>
      <c r="T507" s="16"/>
      <c r="U507" s="16"/>
      <c r="V507" s="16"/>
    </row>
    <row r="508" spans="1:22" ht="13.2">
      <c r="A508" s="12"/>
      <c r="B508" s="46"/>
      <c r="C508" s="12"/>
      <c r="D508" s="15"/>
      <c r="E508" s="15"/>
      <c r="F508" s="15"/>
      <c r="G508" s="16"/>
      <c r="H508" s="16"/>
      <c r="I508" s="16"/>
      <c r="J508" s="16"/>
      <c r="K508" s="16"/>
      <c r="L508" s="16"/>
      <c r="M508" s="15"/>
      <c r="N508" s="16"/>
      <c r="O508" s="16"/>
      <c r="P508" s="16"/>
      <c r="Q508" s="16"/>
      <c r="R508" s="16"/>
      <c r="S508" s="16"/>
      <c r="T508" s="16"/>
      <c r="U508" s="16"/>
      <c r="V508" s="16"/>
    </row>
    <row r="509" spans="1:22" ht="13.2">
      <c r="A509" s="12"/>
      <c r="B509" s="46"/>
      <c r="C509" s="12"/>
      <c r="D509" s="15"/>
      <c r="E509" s="15"/>
      <c r="F509" s="15"/>
      <c r="G509" s="16"/>
      <c r="H509" s="16"/>
      <c r="I509" s="16"/>
      <c r="J509" s="16"/>
      <c r="K509" s="16"/>
      <c r="L509" s="16"/>
      <c r="M509" s="15"/>
      <c r="N509" s="16"/>
      <c r="O509" s="16"/>
      <c r="P509" s="16"/>
      <c r="Q509" s="16"/>
      <c r="R509" s="16"/>
      <c r="S509" s="16"/>
      <c r="T509" s="16"/>
      <c r="U509" s="16"/>
      <c r="V509" s="16"/>
    </row>
    <row r="510" spans="1:22" ht="13.2">
      <c r="A510" s="12"/>
      <c r="B510" s="46"/>
      <c r="C510" s="12"/>
      <c r="D510" s="15"/>
      <c r="E510" s="15"/>
      <c r="F510" s="15"/>
      <c r="G510" s="16"/>
      <c r="H510" s="16"/>
      <c r="I510" s="16"/>
      <c r="J510" s="16"/>
      <c r="K510" s="16"/>
      <c r="L510" s="16"/>
      <c r="M510" s="15"/>
      <c r="N510" s="16"/>
      <c r="O510" s="16"/>
      <c r="P510" s="16"/>
      <c r="Q510" s="16"/>
      <c r="R510" s="16"/>
      <c r="S510" s="16"/>
      <c r="T510" s="16"/>
      <c r="U510" s="16"/>
      <c r="V510" s="16"/>
    </row>
    <row r="511" spans="1:22" ht="13.2">
      <c r="A511" s="12"/>
      <c r="B511" s="46"/>
      <c r="C511" s="12"/>
      <c r="D511" s="15"/>
      <c r="E511" s="15"/>
      <c r="F511" s="15"/>
      <c r="G511" s="16"/>
      <c r="H511" s="16"/>
      <c r="I511" s="16"/>
      <c r="J511" s="16"/>
      <c r="K511" s="16"/>
      <c r="L511" s="16"/>
      <c r="M511" s="15"/>
      <c r="N511" s="16"/>
      <c r="O511" s="16"/>
      <c r="P511" s="16"/>
      <c r="Q511" s="16"/>
      <c r="R511" s="16"/>
      <c r="S511" s="16"/>
      <c r="T511" s="16"/>
      <c r="U511" s="16"/>
      <c r="V511" s="16"/>
    </row>
    <row r="512" spans="1:22" ht="13.2">
      <c r="A512" s="12"/>
      <c r="B512" s="46"/>
      <c r="C512" s="12"/>
      <c r="D512" s="15"/>
      <c r="E512" s="15"/>
      <c r="F512" s="15"/>
      <c r="G512" s="16"/>
      <c r="H512" s="16"/>
      <c r="I512" s="16"/>
      <c r="J512" s="16"/>
      <c r="K512" s="16"/>
      <c r="L512" s="16"/>
      <c r="M512" s="15"/>
      <c r="N512" s="16"/>
      <c r="O512" s="16"/>
      <c r="P512" s="16"/>
      <c r="Q512" s="16"/>
      <c r="R512" s="16"/>
      <c r="S512" s="16"/>
      <c r="T512" s="16"/>
      <c r="U512" s="16"/>
      <c r="V512" s="16"/>
    </row>
    <row r="513" spans="1:22" ht="13.2">
      <c r="A513" s="12"/>
      <c r="B513" s="46"/>
      <c r="C513" s="12"/>
      <c r="D513" s="15"/>
      <c r="E513" s="15"/>
      <c r="F513" s="15"/>
      <c r="G513" s="16"/>
      <c r="H513" s="16"/>
      <c r="I513" s="16"/>
      <c r="J513" s="16"/>
      <c r="K513" s="16"/>
      <c r="L513" s="16"/>
      <c r="M513" s="15"/>
      <c r="N513" s="16"/>
      <c r="O513" s="16"/>
      <c r="P513" s="16"/>
      <c r="Q513" s="16"/>
      <c r="R513" s="16"/>
      <c r="S513" s="16"/>
      <c r="T513" s="16"/>
      <c r="U513" s="16"/>
      <c r="V513" s="16"/>
    </row>
    <row r="514" spans="1:22" ht="13.2">
      <c r="A514" s="12"/>
      <c r="B514" s="46"/>
      <c r="C514" s="12"/>
      <c r="D514" s="15"/>
      <c r="E514" s="15"/>
      <c r="F514" s="15"/>
      <c r="G514" s="16"/>
      <c r="H514" s="16"/>
      <c r="I514" s="16"/>
      <c r="J514" s="16"/>
      <c r="K514" s="16"/>
      <c r="L514" s="16"/>
      <c r="M514" s="15"/>
      <c r="N514" s="16"/>
      <c r="O514" s="16"/>
      <c r="P514" s="16"/>
      <c r="Q514" s="16"/>
      <c r="R514" s="16"/>
      <c r="S514" s="16"/>
      <c r="T514" s="16"/>
      <c r="U514" s="16"/>
      <c r="V514" s="16"/>
    </row>
    <row r="515" spans="1:22" ht="13.2">
      <c r="A515" s="12"/>
      <c r="B515" s="46"/>
      <c r="C515" s="12"/>
      <c r="D515" s="15"/>
      <c r="E515" s="15"/>
      <c r="F515" s="15"/>
      <c r="G515" s="16"/>
      <c r="H515" s="16"/>
      <c r="I515" s="16"/>
      <c r="J515" s="16"/>
      <c r="K515" s="16"/>
      <c r="L515" s="16"/>
      <c r="M515" s="15"/>
      <c r="N515" s="16"/>
      <c r="O515" s="16"/>
      <c r="P515" s="16"/>
      <c r="Q515" s="16"/>
      <c r="R515" s="16"/>
      <c r="S515" s="16"/>
      <c r="T515" s="16"/>
      <c r="U515" s="16"/>
      <c r="V515" s="16"/>
    </row>
    <row r="516" spans="1:22" ht="13.2">
      <c r="A516" s="12"/>
      <c r="B516" s="46"/>
      <c r="C516" s="12"/>
      <c r="D516" s="15"/>
      <c r="E516" s="15"/>
      <c r="F516" s="15"/>
      <c r="G516" s="16"/>
      <c r="H516" s="16"/>
      <c r="I516" s="16"/>
      <c r="J516" s="16"/>
      <c r="K516" s="16"/>
      <c r="L516" s="16"/>
      <c r="M516" s="15"/>
      <c r="N516" s="16"/>
      <c r="O516" s="16"/>
      <c r="P516" s="16"/>
      <c r="Q516" s="16"/>
      <c r="R516" s="16"/>
      <c r="S516" s="16"/>
      <c r="T516" s="16"/>
      <c r="U516" s="16"/>
      <c r="V516" s="16"/>
    </row>
    <row r="517" spans="1:22" ht="13.2">
      <c r="A517" s="12"/>
      <c r="B517" s="46"/>
      <c r="C517" s="12"/>
      <c r="D517" s="15"/>
      <c r="E517" s="15"/>
      <c r="F517" s="15"/>
      <c r="G517" s="16"/>
      <c r="H517" s="16"/>
      <c r="I517" s="16"/>
      <c r="J517" s="16"/>
      <c r="K517" s="16"/>
      <c r="L517" s="16"/>
      <c r="M517" s="15"/>
      <c r="N517" s="16"/>
      <c r="O517" s="16"/>
      <c r="P517" s="16"/>
      <c r="Q517" s="16"/>
      <c r="R517" s="16"/>
      <c r="S517" s="16"/>
      <c r="T517" s="16"/>
      <c r="U517" s="16"/>
      <c r="V517" s="16"/>
    </row>
    <row r="518" spans="1:22" ht="13.2">
      <c r="A518" s="12"/>
      <c r="B518" s="46"/>
      <c r="C518" s="12"/>
      <c r="D518" s="15"/>
      <c r="E518" s="15"/>
      <c r="F518" s="15"/>
      <c r="G518" s="16"/>
      <c r="H518" s="16"/>
      <c r="I518" s="16"/>
      <c r="J518" s="16"/>
      <c r="K518" s="16"/>
      <c r="L518" s="16"/>
      <c r="M518" s="15"/>
      <c r="N518" s="16"/>
      <c r="O518" s="16"/>
      <c r="P518" s="16"/>
      <c r="Q518" s="16"/>
      <c r="R518" s="16"/>
      <c r="S518" s="16"/>
      <c r="T518" s="16"/>
      <c r="U518" s="16"/>
      <c r="V518" s="16"/>
    </row>
    <row r="519" spans="1:22" ht="13.2">
      <c r="A519" s="12"/>
      <c r="B519" s="46"/>
      <c r="C519" s="12"/>
      <c r="D519" s="15"/>
      <c r="E519" s="15"/>
      <c r="F519" s="15"/>
      <c r="G519" s="16"/>
      <c r="H519" s="16"/>
      <c r="I519" s="16"/>
      <c r="J519" s="16"/>
      <c r="K519" s="16"/>
      <c r="L519" s="16"/>
      <c r="M519" s="15"/>
      <c r="N519" s="16"/>
      <c r="O519" s="16"/>
      <c r="P519" s="16"/>
      <c r="Q519" s="16"/>
      <c r="R519" s="16"/>
      <c r="S519" s="16"/>
      <c r="T519" s="16"/>
      <c r="U519" s="16"/>
      <c r="V519" s="16"/>
    </row>
    <row r="520" spans="1:22" ht="13.2">
      <c r="A520" s="12"/>
      <c r="B520" s="46"/>
      <c r="C520" s="12"/>
      <c r="D520" s="15"/>
      <c r="E520" s="15"/>
      <c r="F520" s="15"/>
      <c r="G520" s="16"/>
      <c r="H520" s="16"/>
      <c r="I520" s="16"/>
      <c r="J520" s="16"/>
      <c r="K520" s="16"/>
      <c r="L520" s="16"/>
      <c r="M520" s="15"/>
      <c r="N520" s="16"/>
      <c r="O520" s="16"/>
      <c r="P520" s="16"/>
      <c r="Q520" s="16"/>
      <c r="R520" s="16"/>
      <c r="S520" s="16"/>
      <c r="T520" s="16"/>
      <c r="U520" s="16"/>
      <c r="V520" s="16"/>
    </row>
    <row r="521" spans="1:22" ht="13.2">
      <c r="A521" s="12"/>
      <c r="B521" s="46"/>
      <c r="C521" s="12"/>
      <c r="D521" s="15"/>
      <c r="E521" s="15"/>
      <c r="F521" s="15"/>
      <c r="G521" s="16"/>
      <c r="H521" s="16"/>
      <c r="I521" s="16"/>
      <c r="J521" s="16"/>
      <c r="K521" s="16"/>
      <c r="L521" s="16"/>
      <c r="M521" s="15"/>
      <c r="N521" s="16"/>
      <c r="O521" s="16"/>
      <c r="P521" s="16"/>
      <c r="Q521" s="16"/>
      <c r="R521" s="16"/>
      <c r="S521" s="16"/>
      <c r="T521" s="16"/>
      <c r="U521" s="16"/>
      <c r="V521" s="16"/>
    </row>
    <row r="522" spans="1:22" ht="13.2">
      <c r="A522" s="12"/>
      <c r="B522" s="46"/>
      <c r="C522" s="12"/>
      <c r="D522" s="15"/>
      <c r="E522" s="15"/>
      <c r="F522" s="15"/>
      <c r="G522" s="16"/>
      <c r="H522" s="16"/>
      <c r="I522" s="16"/>
      <c r="J522" s="16"/>
      <c r="K522" s="16"/>
      <c r="L522" s="16"/>
      <c r="M522" s="15"/>
      <c r="N522" s="16"/>
      <c r="O522" s="16"/>
      <c r="P522" s="16"/>
      <c r="Q522" s="16"/>
      <c r="R522" s="16"/>
      <c r="S522" s="16"/>
      <c r="T522" s="16"/>
      <c r="U522" s="16"/>
      <c r="V522" s="16"/>
    </row>
    <row r="523" spans="1:22" ht="13.2">
      <c r="A523" s="12"/>
      <c r="B523" s="46"/>
      <c r="C523" s="12"/>
      <c r="D523" s="15"/>
      <c r="E523" s="15"/>
      <c r="F523" s="15"/>
      <c r="G523" s="16"/>
      <c r="H523" s="16"/>
      <c r="I523" s="16"/>
      <c r="J523" s="16"/>
      <c r="K523" s="16"/>
      <c r="L523" s="16"/>
      <c r="M523" s="15"/>
      <c r="N523" s="16"/>
      <c r="O523" s="16"/>
      <c r="P523" s="16"/>
      <c r="Q523" s="16"/>
      <c r="R523" s="16"/>
      <c r="S523" s="16"/>
      <c r="T523" s="16"/>
      <c r="U523" s="16"/>
      <c r="V523" s="16"/>
    </row>
    <row r="524" spans="1:22" ht="13.2">
      <c r="A524" s="12"/>
      <c r="B524" s="46"/>
      <c r="C524" s="12"/>
      <c r="D524" s="15"/>
      <c r="E524" s="15"/>
      <c r="F524" s="15"/>
      <c r="G524" s="16"/>
      <c r="H524" s="16"/>
      <c r="I524" s="16"/>
      <c r="J524" s="16"/>
      <c r="K524" s="16"/>
      <c r="L524" s="16"/>
      <c r="M524" s="15"/>
      <c r="N524" s="16"/>
      <c r="O524" s="16"/>
      <c r="P524" s="16"/>
      <c r="Q524" s="16"/>
      <c r="R524" s="16"/>
      <c r="S524" s="16"/>
      <c r="T524" s="16"/>
      <c r="U524" s="16"/>
      <c r="V524" s="16"/>
    </row>
    <row r="525" spans="1:22" ht="13.2">
      <c r="A525" s="12"/>
      <c r="B525" s="46"/>
      <c r="C525" s="12"/>
      <c r="D525" s="15"/>
      <c r="E525" s="15"/>
      <c r="F525" s="15"/>
      <c r="G525" s="16"/>
      <c r="H525" s="16"/>
      <c r="I525" s="16"/>
      <c r="J525" s="16"/>
      <c r="K525" s="16"/>
      <c r="L525" s="16"/>
      <c r="M525" s="15"/>
      <c r="N525" s="16"/>
      <c r="O525" s="16"/>
      <c r="P525" s="16"/>
      <c r="Q525" s="16"/>
      <c r="R525" s="16"/>
      <c r="S525" s="16"/>
      <c r="T525" s="16"/>
      <c r="U525" s="16"/>
      <c r="V525" s="16"/>
    </row>
    <row r="526" spans="1:22" ht="13.2">
      <c r="A526" s="12"/>
      <c r="B526" s="46"/>
      <c r="C526" s="12"/>
      <c r="D526" s="15"/>
      <c r="E526" s="15"/>
      <c r="F526" s="15"/>
      <c r="G526" s="16"/>
      <c r="H526" s="16"/>
      <c r="I526" s="16"/>
      <c r="J526" s="16"/>
      <c r="K526" s="16"/>
      <c r="L526" s="16"/>
      <c r="M526" s="15"/>
      <c r="N526" s="16"/>
      <c r="O526" s="16"/>
      <c r="P526" s="16"/>
      <c r="Q526" s="16"/>
      <c r="R526" s="16"/>
      <c r="S526" s="16"/>
      <c r="T526" s="16"/>
      <c r="U526" s="16"/>
      <c r="V526" s="16"/>
    </row>
    <row r="527" spans="1:22" ht="13.2">
      <c r="A527" s="12"/>
      <c r="B527" s="46"/>
      <c r="C527" s="12"/>
      <c r="D527" s="15"/>
      <c r="E527" s="15"/>
      <c r="F527" s="15"/>
      <c r="G527" s="16"/>
      <c r="H527" s="16"/>
      <c r="I527" s="16"/>
      <c r="J527" s="16"/>
      <c r="K527" s="16"/>
      <c r="L527" s="16"/>
      <c r="M527" s="15"/>
      <c r="N527" s="16"/>
      <c r="O527" s="16"/>
      <c r="P527" s="16"/>
      <c r="Q527" s="16"/>
      <c r="R527" s="16"/>
      <c r="S527" s="16"/>
      <c r="T527" s="16"/>
      <c r="U527" s="16"/>
      <c r="V527" s="16"/>
    </row>
    <row r="528" spans="1:22" ht="13.2">
      <c r="A528" s="12"/>
      <c r="B528" s="46"/>
      <c r="C528" s="12"/>
      <c r="D528" s="15"/>
      <c r="E528" s="15"/>
      <c r="F528" s="15"/>
      <c r="G528" s="16"/>
      <c r="H528" s="16"/>
      <c r="I528" s="16"/>
      <c r="J528" s="16"/>
      <c r="K528" s="16"/>
      <c r="L528" s="16"/>
      <c r="M528" s="15"/>
      <c r="N528" s="16"/>
      <c r="O528" s="16"/>
      <c r="P528" s="16"/>
      <c r="Q528" s="16"/>
      <c r="R528" s="16"/>
      <c r="S528" s="16"/>
      <c r="T528" s="16"/>
      <c r="U528" s="16"/>
      <c r="V528" s="16"/>
    </row>
    <row r="529" spans="1:22" ht="13.2">
      <c r="A529" s="12"/>
      <c r="B529" s="46"/>
      <c r="C529" s="12"/>
      <c r="D529" s="15"/>
      <c r="E529" s="15"/>
      <c r="F529" s="15"/>
      <c r="G529" s="16"/>
      <c r="H529" s="16"/>
      <c r="I529" s="16"/>
      <c r="J529" s="16"/>
      <c r="K529" s="16"/>
      <c r="L529" s="16"/>
      <c r="M529" s="15"/>
      <c r="N529" s="16"/>
      <c r="O529" s="16"/>
      <c r="P529" s="16"/>
      <c r="Q529" s="16"/>
      <c r="R529" s="16"/>
      <c r="S529" s="16"/>
      <c r="T529" s="16"/>
      <c r="U529" s="16"/>
      <c r="V529" s="16"/>
    </row>
    <row r="530" spans="1:22" ht="13.2">
      <c r="A530" s="12"/>
      <c r="B530" s="46"/>
      <c r="C530" s="12"/>
      <c r="D530" s="15"/>
      <c r="E530" s="15"/>
      <c r="F530" s="15"/>
      <c r="G530" s="16"/>
      <c r="H530" s="16"/>
      <c r="I530" s="16"/>
      <c r="J530" s="16"/>
      <c r="K530" s="16"/>
      <c r="L530" s="16"/>
      <c r="M530" s="15"/>
      <c r="N530" s="16"/>
      <c r="O530" s="16"/>
      <c r="P530" s="16"/>
      <c r="Q530" s="16"/>
      <c r="R530" s="16"/>
      <c r="S530" s="16"/>
      <c r="T530" s="16"/>
      <c r="U530" s="16"/>
      <c r="V530" s="16"/>
    </row>
    <row r="531" spans="1:22" ht="13.2">
      <c r="A531" s="12"/>
      <c r="B531" s="46"/>
      <c r="C531" s="12"/>
      <c r="D531" s="15"/>
      <c r="E531" s="15"/>
      <c r="F531" s="15"/>
      <c r="G531" s="16"/>
      <c r="H531" s="16"/>
      <c r="I531" s="16"/>
      <c r="J531" s="16"/>
      <c r="K531" s="16"/>
      <c r="L531" s="16"/>
      <c r="M531" s="15"/>
      <c r="N531" s="16"/>
      <c r="O531" s="16"/>
      <c r="P531" s="16"/>
      <c r="Q531" s="16"/>
      <c r="R531" s="16"/>
      <c r="S531" s="16"/>
      <c r="T531" s="16"/>
      <c r="U531" s="16"/>
      <c r="V531" s="16"/>
    </row>
    <row r="532" spans="1:22" ht="13.2">
      <c r="A532" s="12"/>
      <c r="B532" s="46"/>
      <c r="C532" s="12"/>
      <c r="D532" s="15"/>
      <c r="E532" s="15"/>
      <c r="F532" s="15"/>
      <c r="G532" s="16"/>
      <c r="H532" s="16"/>
      <c r="I532" s="16"/>
      <c r="J532" s="16"/>
      <c r="K532" s="16"/>
      <c r="L532" s="16"/>
      <c r="M532" s="15"/>
      <c r="N532" s="16"/>
      <c r="O532" s="16"/>
      <c r="P532" s="16"/>
      <c r="Q532" s="16"/>
      <c r="R532" s="16"/>
      <c r="S532" s="16"/>
      <c r="T532" s="16"/>
      <c r="U532" s="16"/>
      <c r="V532" s="16"/>
    </row>
    <row r="533" spans="1:22" ht="13.2">
      <c r="A533" s="12"/>
      <c r="B533" s="46"/>
      <c r="C533" s="12"/>
      <c r="D533" s="15"/>
      <c r="E533" s="15"/>
      <c r="F533" s="15"/>
      <c r="G533" s="16"/>
      <c r="H533" s="16"/>
      <c r="I533" s="16"/>
      <c r="J533" s="16"/>
      <c r="K533" s="16"/>
      <c r="L533" s="16"/>
      <c r="M533" s="15"/>
      <c r="N533" s="16"/>
      <c r="O533" s="16"/>
      <c r="P533" s="16"/>
      <c r="Q533" s="16"/>
      <c r="R533" s="16"/>
      <c r="S533" s="16"/>
      <c r="T533" s="16"/>
      <c r="U533" s="16"/>
      <c r="V533" s="16"/>
    </row>
    <row r="534" spans="1:22" ht="13.2">
      <c r="A534" s="12"/>
      <c r="B534" s="46"/>
      <c r="C534" s="12"/>
      <c r="D534" s="15"/>
      <c r="E534" s="15"/>
      <c r="F534" s="15"/>
      <c r="G534" s="16"/>
      <c r="H534" s="16"/>
      <c r="I534" s="16"/>
      <c r="J534" s="16"/>
      <c r="K534" s="16"/>
      <c r="L534" s="16"/>
      <c r="M534" s="15"/>
      <c r="N534" s="16"/>
      <c r="O534" s="16"/>
      <c r="P534" s="16"/>
      <c r="Q534" s="16"/>
      <c r="R534" s="16"/>
      <c r="S534" s="16"/>
      <c r="T534" s="16"/>
      <c r="U534" s="16"/>
      <c r="V534" s="16"/>
    </row>
    <row r="535" spans="1:22" ht="13.2">
      <c r="A535" s="12"/>
      <c r="B535" s="46"/>
      <c r="C535" s="12"/>
      <c r="D535" s="15"/>
      <c r="E535" s="15"/>
      <c r="F535" s="15"/>
      <c r="G535" s="16"/>
      <c r="H535" s="16"/>
      <c r="I535" s="16"/>
      <c r="J535" s="16"/>
      <c r="K535" s="16"/>
      <c r="L535" s="16"/>
      <c r="M535" s="15"/>
      <c r="N535" s="16"/>
      <c r="O535" s="16"/>
      <c r="P535" s="16"/>
      <c r="Q535" s="16"/>
      <c r="R535" s="16"/>
      <c r="S535" s="16"/>
      <c r="T535" s="16"/>
      <c r="U535" s="16"/>
      <c r="V535" s="16"/>
    </row>
    <row r="536" spans="1:22" ht="13.2">
      <c r="A536" s="12"/>
      <c r="B536" s="46"/>
      <c r="C536" s="12"/>
      <c r="D536" s="15"/>
      <c r="E536" s="15"/>
      <c r="F536" s="15"/>
      <c r="G536" s="16"/>
      <c r="H536" s="16"/>
      <c r="I536" s="16"/>
      <c r="J536" s="16"/>
      <c r="K536" s="16"/>
      <c r="L536" s="16"/>
      <c r="M536" s="15"/>
      <c r="N536" s="16"/>
      <c r="O536" s="16"/>
      <c r="P536" s="16"/>
      <c r="Q536" s="16"/>
      <c r="R536" s="16"/>
      <c r="S536" s="16"/>
      <c r="T536" s="16"/>
      <c r="U536" s="16"/>
      <c r="V536" s="16"/>
    </row>
    <row r="537" spans="1:22" ht="13.2">
      <c r="A537" s="12"/>
      <c r="B537" s="46"/>
      <c r="C537" s="12"/>
      <c r="D537" s="15"/>
      <c r="E537" s="15"/>
      <c r="F537" s="15"/>
      <c r="G537" s="16"/>
      <c r="H537" s="16"/>
      <c r="I537" s="16"/>
      <c r="J537" s="16"/>
      <c r="K537" s="16"/>
      <c r="L537" s="16"/>
      <c r="M537" s="15"/>
      <c r="N537" s="16"/>
      <c r="O537" s="16"/>
      <c r="P537" s="16"/>
      <c r="Q537" s="16"/>
      <c r="R537" s="16"/>
      <c r="S537" s="16"/>
      <c r="T537" s="16"/>
      <c r="U537" s="16"/>
      <c r="V537" s="16"/>
    </row>
    <row r="538" spans="1:22" ht="13.2">
      <c r="A538" s="12"/>
      <c r="B538" s="46"/>
      <c r="C538" s="12"/>
      <c r="D538" s="15"/>
      <c r="E538" s="15"/>
      <c r="F538" s="15"/>
      <c r="G538" s="16"/>
      <c r="H538" s="16"/>
      <c r="I538" s="16"/>
      <c r="J538" s="16"/>
      <c r="K538" s="16"/>
      <c r="L538" s="16"/>
      <c r="M538" s="15"/>
      <c r="N538" s="16"/>
      <c r="O538" s="16"/>
      <c r="P538" s="16"/>
      <c r="Q538" s="16"/>
      <c r="R538" s="16"/>
      <c r="S538" s="16"/>
      <c r="T538" s="16"/>
      <c r="U538" s="16"/>
      <c r="V538" s="16"/>
    </row>
    <row r="539" spans="1:22" ht="13.2">
      <c r="A539" s="12"/>
      <c r="B539" s="46"/>
      <c r="C539" s="12"/>
      <c r="D539" s="15"/>
      <c r="E539" s="15"/>
      <c r="F539" s="15"/>
      <c r="G539" s="16"/>
      <c r="H539" s="16"/>
      <c r="I539" s="16"/>
      <c r="J539" s="16"/>
      <c r="K539" s="16"/>
      <c r="L539" s="16"/>
      <c r="M539" s="15"/>
      <c r="N539" s="16"/>
      <c r="O539" s="16"/>
      <c r="P539" s="16"/>
      <c r="Q539" s="16"/>
      <c r="R539" s="16"/>
      <c r="S539" s="16"/>
      <c r="T539" s="16"/>
      <c r="U539" s="16"/>
      <c r="V539" s="16"/>
    </row>
    <row r="540" spans="1:22" ht="13.2">
      <c r="A540" s="12"/>
      <c r="B540" s="46"/>
      <c r="C540" s="12"/>
      <c r="D540" s="15"/>
      <c r="E540" s="15"/>
      <c r="F540" s="15"/>
      <c r="G540" s="16"/>
      <c r="H540" s="16"/>
      <c r="I540" s="16"/>
      <c r="J540" s="16"/>
      <c r="K540" s="16"/>
      <c r="L540" s="16"/>
      <c r="M540" s="15"/>
      <c r="N540" s="16"/>
      <c r="O540" s="16"/>
      <c r="P540" s="16"/>
      <c r="Q540" s="16"/>
      <c r="R540" s="16"/>
      <c r="S540" s="16"/>
      <c r="T540" s="16"/>
      <c r="U540" s="16"/>
      <c r="V540" s="16"/>
    </row>
    <row r="541" spans="1:22" ht="13.2">
      <c r="A541" s="12"/>
      <c r="B541" s="46"/>
      <c r="C541" s="12"/>
      <c r="D541" s="15"/>
      <c r="E541" s="15"/>
      <c r="F541" s="15"/>
      <c r="G541" s="16"/>
      <c r="H541" s="16"/>
      <c r="I541" s="16"/>
      <c r="J541" s="16"/>
      <c r="K541" s="16"/>
      <c r="L541" s="16"/>
      <c r="M541" s="15"/>
      <c r="N541" s="16"/>
      <c r="O541" s="16"/>
      <c r="P541" s="16"/>
      <c r="Q541" s="16"/>
      <c r="R541" s="16"/>
      <c r="S541" s="16"/>
      <c r="T541" s="16"/>
      <c r="U541" s="16"/>
      <c r="V541" s="16"/>
    </row>
    <row r="542" spans="1:22" ht="13.2">
      <c r="A542" s="12"/>
      <c r="B542" s="46"/>
      <c r="C542" s="12"/>
      <c r="D542" s="15"/>
      <c r="E542" s="15"/>
      <c r="F542" s="15"/>
      <c r="G542" s="16"/>
      <c r="H542" s="16"/>
      <c r="I542" s="16"/>
      <c r="J542" s="16"/>
      <c r="K542" s="16"/>
      <c r="L542" s="16"/>
      <c r="M542" s="15"/>
      <c r="N542" s="16"/>
      <c r="O542" s="16"/>
      <c r="P542" s="16"/>
      <c r="Q542" s="16"/>
      <c r="R542" s="16"/>
      <c r="S542" s="16"/>
      <c r="T542" s="16"/>
      <c r="U542" s="16"/>
      <c r="V542" s="16"/>
    </row>
    <row r="543" spans="1:22" ht="13.2">
      <c r="A543" s="12"/>
      <c r="B543" s="46"/>
      <c r="C543" s="12"/>
      <c r="D543" s="15"/>
      <c r="E543" s="15"/>
      <c r="F543" s="15"/>
      <c r="G543" s="16"/>
      <c r="H543" s="16"/>
      <c r="I543" s="16"/>
      <c r="J543" s="16"/>
      <c r="K543" s="16"/>
      <c r="L543" s="16"/>
      <c r="M543" s="15"/>
      <c r="N543" s="16"/>
      <c r="O543" s="16"/>
      <c r="P543" s="16"/>
      <c r="Q543" s="16"/>
      <c r="R543" s="16"/>
      <c r="S543" s="16"/>
      <c r="T543" s="16"/>
      <c r="U543" s="16"/>
      <c r="V543" s="16"/>
    </row>
    <row r="544" spans="1:22" ht="13.2">
      <c r="A544" s="12"/>
      <c r="B544" s="46"/>
      <c r="C544" s="12"/>
      <c r="D544" s="15"/>
      <c r="E544" s="15"/>
      <c r="F544" s="15"/>
      <c r="G544" s="16"/>
      <c r="H544" s="16"/>
      <c r="I544" s="16"/>
      <c r="J544" s="16"/>
      <c r="K544" s="16"/>
      <c r="L544" s="16"/>
      <c r="M544" s="15"/>
      <c r="N544" s="16"/>
      <c r="O544" s="16"/>
      <c r="P544" s="16"/>
      <c r="Q544" s="16"/>
      <c r="R544" s="16"/>
      <c r="S544" s="16"/>
      <c r="T544" s="16"/>
      <c r="U544" s="16"/>
      <c r="V544" s="16"/>
    </row>
    <row r="545" spans="1:22" ht="13.2">
      <c r="A545" s="12"/>
      <c r="B545" s="46"/>
      <c r="C545" s="12"/>
      <c r="D545" s="15"/>
      <c r="E545" s="15"/>
      <c r="F545" s="15"/>
      <c r="G545" s="16"/>
      <c r="H545" s="16"/>
      <c r="I545" s="16"/>
      <c r="J545" s="16"/>
      <c r="K545" s="16"/>
      <c r="L545" s="16"/>
      <c r="M545" s="15"/>
      <c r="N545" s="16"/>
      <c r="O545" s="16"/>
      <c r="P545" s="16"/>
      <c r="Q545" s="16"/>
      <c r="R545" s="16"/>
      <c r="S545" s="16"/>
      <c r="T545" s="16"/>
      <c r="U545" s="16"/>
      <c r="V545" s="16"/>
    </row>
    <row r="546" spans="1:22" ht="13.2">
      <c r="A546" s="12"/>
      <c r="B546" s="46"/>
      <c r="C546" s="12"/>
      <c r="D546" s="15"/>
      <c r="E546" s="15"/>
      <c r="F546" s="15"/>
      <c r="G546" s="16"/>
      <c r="H546" s="16"/>
      <c r="I546" s="16"/>
      <c r="J546" s="16"/>
      <c r="K546" s="16"/>
      <c r="L546" s="16"/>
      <c r="M546" s="15"/>
      <c r="N546" s="16"/>
      <c r="O546" s="16"/>
      <c r="P546" s="16"/>
      <c r="Q546" s="16"/>
      <c r="R546" s="16"/>
      <c r="S546" s="16"/>
      <c r="T546" s="16"/>
      <c r="U546" s="16"/>
      <c r="V546" s="16"/>
    </row>
    <row r="547" spans="1:22" ht="13.2">
      <c r="A547" s="12"/>
      <c r="B547" s="46"/>
      <c r="C547" s="12"/>
      <c r="D547" s="15"/>
      <c r="E547" s="15"/>
      <c r="F547" s="15"/>
      <c r="G547" s="16"/>
      <c r="H547" s="16"/>
      <c r="I547" s="16"/>
      <c r="J547" s="16"/>
      <c r="K547" s="16"/>
      <c r="L547" s="16"/>
      <c r="M547" s="15"/>
      <c r="N547" s="16"/>
      <c r="O547" s="16"/>
      <c r="P547" s="16"/>
      <c r="Q547" s="16"/>
      <c r="R547" s="16"/>
      <c r="S547" s="16"/>
      <c r="T547" s="16"/>
      <c r="U547" s="16"/>
      <c r="V547" s="16"/>
    </row>
    <row r="548" spans="1:22" ht="13.2">
      <c r="A548" s="12"/>
      <c r="B548" s="46"/>
      <c r="C548" s="12"/>
      <c r="D548" s="15"/>
      <c r="E548" s="15"/>
      <c r="F548" s="15"/>
      <c r="G548" s="16"/>
      <c r="H548" s="16"/>
      <c r="I548" s="16"/>
      <c r="J548" s="16"/>
      <c r="K548" s="16"/>
      <c r="L548" s="16"/>
      <c r="M548" s="15"/>
      <c r="N548" s="16"/>
      <c r="O548" s="16"/>
      <c r="P548" s="16"/>
      <c r="Q548" s="16"/>
      <c r="R548" s="16"/>
      <c r="S548" s="16"/>
      <c r="T548" s="16"/>
      <c r="U548" s="16"/>
      <c r="V548" s="16"/>
    </row>
    <row r="549" spans="1:22" ht="13.2">
      <c r="A549" s="12"/>
      <c r="B549" s="46"/>
      <c r="C549" s="12"/>
      <c r="D549" s="15"/>
      <c r="E549" s="15"/>
      <c r="F549" s="15"/>
      <c r="G549" s="16"/>
      <c r="H549" s="16"/>
      <c r="I549" s="16"/>
      <c r="J549" s="16"/>
      <c r="K549" s="16"/>
      <c r="L549" s="16"/>
      <c r="M549" s="15"/>
      <c r="N549" s="16"/>
      <c r="O549" s="16"/>
      <c r="P549" s="16"/>
      <c r="Q549" s="16"/>
      <c r="R549" s="16"/>
      <c r="S549" s="16"/>
      <c r="T549" s="16"/>
      <c r="U549" s="16"/>
      <c r="V549" s="16"/>
    </row>
    <row r="550" spans="1:22" ht="13.2">
      <c r="A550" s="12"/>
      <c r="B550" s="46"/>
      <c r="C550" s="12"/>
      <c r="D550" s="15"/>
      <c r="E550" s="15"/>
      <c r="F550" s="15"/>
      <c r="G550" s="16"/>
      <c r="H550" s="16"/>
      <c r="I550" s="16"/>
      <c r="J550" s="16"/>
      <c r="K550" s="16"/>
      <c r="L550" s="16"/>
      <c r="M550" s="15"/>
      <c r="N550" s="16"/>
      <c r="O550" s="16"/>
      <c r="P550" s="16"/>
      <c r="Q550" s="16"/>
      <c r="R550" s="16"/>
      <c r="S550" s="16"/>
      <c r="T550" s="16"/>
      <c r="U550" s="16"/>
      <c r="V550" s="16"/>
    </row>
    <row r="551" spans="1:22" ht="13.2">
      <c r="A551" s="12"/>
      <c r="B551" s="46"/>
      <c r="C551" s="12"/>
      <c r="D551" s="15"/>
      <c r="E551" s="15"/>
      <c r="F551" s="15"/>
      <c r="G551" s="16"/>
      <c r="H551" s="16"/>
      <c r="I551" s="16"/>
      <c r="J551" s="16"/>
      <c r="K551" s="16"/>
      <c r="L551" s="16"/>
      <c r="M551" s="15"/>
      <c r="N551" s="16"/>
      <c r="O551" s="16"/>
      <c r="P551" s="16"/>
      <c r="Q551" s="16"/>
      <c r="R551" s="16"/>
      <c r="S551" s="16"/>
      <c r="T551" s="16"/>
      <c r="U551" s="16"/>
      <c r="V551" s="16"/>
    </row>
    <row r="552" spans="1:22" ht="13.2">
      <c r="A552" s="12"/>
      <c r="B552" s="46"/>
      <c r="C552" s="12"/>
      <c r="D552" s="15"/>
      <c r="E552" s="15"/>
      <c r="F552" s="15"/>
      <c r="G552" s="16"/>
      <c r="H552" s="16"/>
      <c r="I552" s="16"/>
      <c r="J552" s="16"/>
      <c r="K552" s="16"/>
      <c r="L552" s="16"/>
      <c r="M552" s="15"/>
      <c r="N552" s="16"/>
      <c r="O552" s="16"/>
      <c r="P552" s="16"/>
      <c r="Q552" s="16"/>
      <c r="R552" s="16"/>
      <c r="S552" s="16"/>
      <c r="T552" s="16"/>
      <c r="U552" s="16"/>
      <c r="V552" s="16"/>
    </row>
    <row r="553" spans="1:22" ht="13.2">
      <c r="A553" s="12"/>
      <c r="B553" s="46"/>
      <c r="C553" s="12"/>
      <c r="D553" s="15"/>
      <c r="E553" s="15"/>
      <c r="F553" s="15"/>
      <c r="G553" s="16"/>
      <c r="H553" s="16"/>
      <c r="I553" s="16"/>
      <c r="J553" s="16"/>
      <c r="K553" s="16"/>
      <c r="L553" s="16"/>
      <c r="M553" s="15"/>
      <c r="N553" s="16"/>
      <c r="O553" s="16"/>
      <c r="P553" s="16"/>
      <c r="Q553" s="16"/>
      <c r="R553" s="16"/>
      <c r="S553" s="16"/>
      <c r="T553" s="16"/>
      <c r="U553" s="16"/>
      <c r="V553" s="16"/>
    </row>
    <row r="554" spans="1:22" ht="13.2">
      <c r="A554" s="12"/>
      <c r="B554" s="46"/>
      <c r="C554" s="12"/>
      <c r="D554" s="15"/>
      <c r="E554" s="15"/>
      <c r="F554" s="15"/>
      <c r="G554" s="16"/>
      <c r="H554" s="16"/>
      <c r="I554" s="16"/>
      <c r="J554" s="16"/>
      <c r="K554" s="16"/>
      <c r="L554" s="16"/>
      <c r="M554" s="15"/>
      <c r="N554" s="16"/>
      <c r="O554" s="16"/>
      <c r="P554" s="16"/>
      <c r="Q554" s="16"/>
      <c r="R554" s="16"/>
      <c r="S554" s="16"/>
      <c r="T554" s="16"/>
      <c r="U554" s="16"/>
      <c r="V554" s="16"/>
    </row>
    <row r="555" spans="1:22" ht="13.2">
      <c r="A555" s="12"/>
      <c r="B555" s="46"/>
      <c r="C555" s="12"/>
      <c r="D555" s="15"/>
      <c r="E555" s="15"/>
      <c r="F555" s="15"/>
      <c r="G555" s="16"/>
      <c r="H555" s="16"/>
      <c r="I555" s="16"/>
      <c r="J555" s="16"/>
      <c r="K555" s="16"/>
      <c r="L555" s="16"/>
      <c r="M555" s="15"/>
      <c r="N555" s="16"/>
      <c r="O555" s="16"/>
      <c r="P555" s="16"/>
      <c r="Q555" s="16"/>
      <c r="R555" s="16"/>
      <c r="S555" s="16"/>
      <c r="T555" s="16"/>
      <c r="U555" s="16"/>
      <c r="V555" s="16"/>
    </row>
    <row r="556" spans="1:22" ht="13.2">
      <c r="A556" s="12"/>
      <c r="B556" s="46"/>
      <c r="C556" s="12"/>
      <c r="D556" s="15"/>
      <c r="E556" s="15"/>
      <c r="F556" s="15"/>
      <c r="G556" s="16"/>
      <c r="H556" s="16"/>
      <c r="I556" s="16"/>
      <c r="J556" s="16"/>
      <c r="K556" s="16"/>
      <c r="L556" s="16"/>
      <c r="M556" s="15"/>
      <c r="N556" s="16"/>
      <c r="O556" s="16"/>
      <c r="P556" s="16"/>
      <c r="Q556" s="16"/>
      <c r="R556" s="16"/>
      <c r="S556" s="16"/>
      <c r="T556" s="16"/>
      <c r="U556" s="16"/>
      <c r="V556" s="16"/>
    </row>
    <row r="557" spans="1:22" ht="13.2">
      <c r="A557" s="12"/>
      <c r="B557" s="46"/>
      <c r="C557" s="12"/>
      <c r="D557" s="15"/>
      <c r="E557" s="15"/>
      <c r="F557" s="15"/>
      <c r="G557" s="16"/>
      <c r="H557" s="16"/>
      <c r="I557" s="16"/>
      <c r="J557" s="16"/>
      <c r="K557" s="16"/>
      <c r="L557" s="16"/>
      <c r="M557" s="15"/>
      <c r="N557" s="16"/>
      <c r="O557" s="16"/>
      <c r="P557" s="16"/>
      <c r="Q557" s="16"/>
      <c r="R557" s="16"/>
      <c r="S557" s="16"/>
      <c r="T557" s="16"/>
      <c r="U557" s="16"/>
      <c r="V557" s="16"/>
    </row>
    <row r="558" spans="1:22" ht="13.2">
      <c r="A558" s="12"/>
      <c r="B558" s="46"/>
      <c r="C558" s="12"/>
      <c r="D558" s="15"/>
      <c r="E558" s="15"/>
      <c r="F558" s="15"/>
      <c r="G558" s="16"/>
      <c r="H558" s="16"/>
      <c r="I558" s="16"/>
      <c r="J558" s="16"/>
      <c r="K558" s="16"/>
      <c r="L558" s="16"/>
      <c r="M558" s="15"/>
      <c r="N558" s="16"/>
      <c r="O558" s="16"/>
      <c r="P558" s="16"/>
      <c r="Q558" s="16"/>
      <c r="R558" s="16"/>
      <c r="S558" s="16"/>
      <c r="T558" s="16"/>
      <c r="U558" s="16"/>
      <c r="V558" s="16"/>
    </row>
    <row r="559" spans="1:22" ht="13.2">
      <c r="A559" s="12"/>
      <c r="B559" s="46"/>
      <c r="C559" s="12"/>
      <c r="D559" s="15"/>
      <c r="E559" s="15"/>
      <c r="F559" s="15"/>
      <c r="G559" s="16"/>
      <c r="H559" s="16"/>
      <c r="I559" s="16"/>
      <c r="J559" s="16"/>
      <c r="K559" s="16"/>
      <c r="L559" s="16"/>
      <c r="M559" s="15"/>
      <c r="N559" s="16"/>
      <c r="O559" s="16"/>
      <c r="P559" s="16"/>
      <c r="Q559" s="16"/>
      <c r="R559" s="16"/>
      <c r="S559" s="16"/>
      <c r="T559" s="16"/>
      <c r="U559" s="16"/>
      <c r="V559" s="16"/>
    </row>
    <row r="560" spans="1:22" ht="13.2">
      <c r="A560" s="12"/>
      <c r="B560" s="46"/>
      <c r="C560" s="12"/>
      <c r="D560" s="15"/>
      <c r="E560" s="15"/>
      <c r="F560" s="15"/>
      <c r="G560" s="16"/>
      <c r="H560" s="16"/>
      <c r="I560" s="16"/>
      <c r="J560" s="16"/>
      <c r="K560" s="16"/>
      <c r="L560" s="16"/>
      <c r="M560" s="15"/>
      <c r="N560" s="16"/>
      <c r="O560" s="16"/>
      <c r="P560" s="16"/>
      <c r="Q560" s="16"/>
      <c r="R560" s="16"/>
      <c r="S560" s="16"/>
      <c r="T560" s="16"/>
      <c r="U560" s="16"/>
      <c r="V560" s="16"/>
    </row>
    <row r="561" spans="1:22" ht="13.2">
      <c r="A561" s="12"/>
      <c r="B561" s="46"/>
      <c r="C561" s="12"/>
      <c r="D561" s="15"/>
      <c r="E561" s="15"/>
      <c r="F561" s="15"/>
      <c r="G561" s="16"/>
      <c r="H561" s="16"/>
      <c r="I561" s="16"/>
      <c r="J561" s="16"/>
      <c r="K561" s="16"/>
      <c r="L561" s="16"/>
      <c r="M561" s="15"/>
      <c r="N561" s="16"/>
      <c r="O561" s="16"/>
      <c r="P561" s="16"/>
      <c r="Q561" s="16"/>
      <c r="R561" s="16"/>
      <c r="S561" s="16"/>
      <c r="T561" s="16"/>
      <c r="U561" s="16"/>
      <c r="V561" s="16"/>
    </row>
    <row r="562" spans="1:22" ht="13.2">
      <c r="A562" s="12"/>
      <c r="B562" s="46"/>
      <c r="C562" s="12"/>
      <c r="D562" s="15"/>
      <c r="E562" s="15"/>
      <c r="F562" s="15"/>
      <c r="G562" s="16"/>
      <c r="H562" s="16"/>
      <c r="I562" s="16"/>
      <c r="J562" s="16"/>
      <c r="K562" s="16"/>
      <c r="L562" s="16"/>
      <c r="M562" s="15"/>
      <c r="N562" s="16"/>
      <c r="O562" s="16"/>
      <c r="P562" s="16"/>
      <c r="Q562" s="16"/>
      <c r="R562" s="16"/>
      <c r="S562" s="16"/>
      <c r="T562" s="16"/>
      <c r="U562" s="16"/>
      <c r="V562" s="16"/>
    </row>
    <row r="563" spans="1:22" ht="13.2">
      <c r="A563" s="12"/>
      <c r="B563" s="46"/>
      <c r="C563" s="12"/>
      <c r="D563" s="15"/>
      <c r="E563" s="15"/>
      <c r="F563" s="15"/>
      <c r="G563" s="16"/>
      <c r="H563" s="16"/>
      <c r="I563" s="16"/>
      <c r="J563" s="16"/>
      <c r="K563" s="16"/>
      <c r="L563" s="16"/>
      <c r="M563" s="15"/>
      <c r="N563" s="16"/>
      <c r="O563" s="16"/>
      <c r="P563" s="16"/>
      <c r="Q563" s="16"/>
      <c r="R563" s="16"/>
      <c r="S563" s="16"/>
      <c r="T563" s="16"/>
      <c r="U563" s="16"/>
      <c r="V563" s="16"/>
    </row>
    <row r="564" spans="1:22" ht="13.2">
      <c r="A564" s="12"/>
      <c r="B564" s="46"/>
      <c r="C564" s="12"/>
      <c r="D564" s="15"/>
      <c r="E564" s="15"/>
      <c r="F564" s="15"/>
      <c r="G564" s="16"/>
      <c r="H564" s="16"/>
      <c r="I564" s="16"/>
      <c r="J564" s="16"/>
      <c r="K564" s="16"/>
      <c r="L564" s="16"/>
      <c r="M564" s="15"/>
      <c r="N564" s="16"/>
      <c r="O564" s="16"/>
      <c r="P564" s="16"/>
      <c r="Q564" s="16"/>
      <c r="R564" s="16"/>
      <c r="S564" s="16"/>
      <c r="T564" s="16"/>
      <c r="U564" s="16"/>
      <c r="V564" s="16"/>
    </row>
    <row r="565" spans="1:22" ht="13.2">
      <c r="A565" s="12"/>
      <c r="B565" s="46"/>
      <c r="C565" s="12"/>
      <c r="D565" s="15"/>
      <c r="E565" s="15"/>
      <c r="F565" s="15"/>
      <c r="G565" s="16"/>
      <c r="H565" s="16"/>
      <c r="I565" s="16"/>
      <c r="J565" s="16"/>
      <c r="K565" s="16"/>
      <c r="L565" s="16"/>
      <c r="M565" s="15"/>
      <c r="N565" s="16"/>
      <c r="O565" s="16"/>
      <c r="P565" s="16"/>
      <c r="Q565" s="16"/>
      <c r="R565" s="16"/>
      <c r="S565" s="16"/>
      <c r="T565" s="16"/>
      <c r="U565" s="16"/>
      <c r="V565" s="16"/>
    </row>
    <row r="566" spans="1:22" ht="13.2">
      <c r="A566" s="12"/>
      <c r="B566" s="46"/>
      <c r="C566" s="12"/>
      <c r="D566" s="15"/>
      <c r="E566" s="15"/>
      <c r="F566" s="15"/>
      <c r="G566" s="16"/>
      <c r="H566" s="16"/>
      <c r="I566" s="16"/>
      <c r="J566" s="16"/>
      <c r="K566" s="16"/>
      <c r="L566" s="16"/>
      <c r="M566" s="15"/>
      <c r="N566" s="16"/>
      <c r="O566" s="16"/>
      <c r="P566" s="16"/>
      <c r="Q566" s="16"/>
      <c r="R566" s="16"/>
      <c r="S566" s="16"/>
      <c r="T566" s="16"/>
      <c r="U566" s="16"/>
      <c r="V566" s="16"/>
    </row>
    <row r="567" spans="1:22" ht="13.2">
      <c r="A567" s="12"/>
      <c r="B567" s="46"/>
      <c r="C567" s="12"/>
      <c r="D567" s="15"/>
      <c r="E567" s="15"/>
      <c r="F567" s="15"/>
      <c r="G567" s="16"/>
      <c r="H567" s="16"/>
      <c r="I567" s="16"/>
      <c r="J567" s="16"/>
      <c r="K567" s="16"/>
      <c r="L567" s="16"/>
      <c r="M567" s="15"/>
      <c r="N567" s="16"/>
      <c r="O567" s="16"/>
      <c r="P567" s="16"/>
      <c r="Q567" s="16"/>
      <c r="R567" s="16"/>
      <c r="S567" s="16"/>
      <c r="T567" s="16"/>
      <c r="U567" s="16"/>
      <c r="V567" s="16"/>
    </row>
    <row r="568" spans="1:22" ht="13.2">
      <c r="A568" s="12"/>
      <c r="B568" s="46"/>
      <c r="C568" s="12"/>
      <c r="D568" s="15"/>
      <c r="E568" s="15"/>
      <c r="F568" s="15"/>
      <c r="G568" s="16"/>
      <c r="H568" s="16"/>
      <c r="I568" s="16"/>
      <c r="J568" s="16"/>
      <c r="K568" s="16"/>
      <c r="L568" s="16"/>
      <c r="M568" s="15"/>
      <c r="N568" s="16"/>
      <c r="O568" s="16"/>
      <c r="P568" s="16"/>
      <c r="Q568" s="16"/>
      <c r="R568" s="16"/>
      <c r="S568" s="16"/>
      <c r="T568" s="16"/>
      <c r="U568" s="16"/>
      <c r="V568" s="16"/>
    </row>
    <row r="569" spans="1:22" ht="13.2">
      <c r="A569" s="12"/>
      <c r="B569" s="46"/>
      <c r="C569" s="12"/>
      <c r="D569" s="15"/>
      <c r="E569" s="15"/>
      <c r="F569" s="15"/>
      <c r="G569" s="16"/>
      <c r="H569" s="16"/>
      <c r="I569" s="16"/>
      <c r="J569" s="16"/>
      <c r="K569" s="16"/>
      <c r="L569" s="16"/>
      <c r="M569" s="15"/>
      <c r="N569" s="16"/>
      <c r="O569" s="16"/>
      <c r="P569" s="16"/>
      <c r="Q569" s="16"/>
      <c r="R569" s="16"/>
      <c r="S569" s="16"/>
      <c r="T569" s="16"/>
      <c r="U569" s="16"/>
      <c r="V569" s="16"/>
    </row>
    <row r="570" spans="1:22" ht="13.2">
      <c r="A570" s="12"/>
      <c r="B570" s="46"/>
      <c r="C570" s="12"/>
      <c r="D570" s="15"/>
      <c r="E570" s="15"/>
      <c r="F570" s="15"/>
      <c r="G570" s="16"/>
      <c r="H570" s="16"/>
      <c r="I570" s="16"/>
      <c r="J570" s="16"/>
      <c r="K570" s="16"/>
      <c r="L570" s="16"/>
      <c r="M570" s="15"/>
      <c r="N570" s="16"/>
      <c r="O570" s="16"/>
      <c r="P570" s="16"/>
      <c r="Q570" s="16"/>
      <c r="R570" s="16"/>
      <c r="S570" s="16"/>
      <c r="T570" s="16"/>
      <c r="U570" s="16"/>
      <c r="V570" s="16"/>
    </row>
    <row r="571" spans="1:22" ht="13.2">
      <c r="A571" s="12"/>
      <c r="B571" s="46"/>
      <c r="C571" s="12"/>
      <c r="D571" s="15"/>
      <c r="E571" s="15"/>
      <c r="F571" s="15"/>
      <c r="G571" s="16"/>
      <c r="H571" s="16"/>
      <c r="I571" s="16"/>
      <c r="J571" s="16"/>
      <c r="K571" s="16"/>
      <c r="L571" s="16"/>
      <c r="M571" s="15"/>
      <c r="N571" s="16"/>
      <c r="O571" s="16"/>
      <c r="P571" s="16"/>
      <c r="Q571" s="16"/>
      <c r="R571" s="16"/>
      <c r="S571" s="16"/>
      <c r="T571" s="16"/>
      <c r="U571" s="16"/>
      <c r="V571" s="16"/>
    </row>
    <row r="572" spans="1:22" ht="13.2">
      <c r="A572" s="12"/>
      <c r="B572" s="46"/>
      <c r="C572" s="12"/>
      <c r="D572" s="15"/>
      <c r="E572" s="15"/>
      <c r="F572" s="15"/>
      <c r="G572" s="16"/>
      <c r="H572" s="16"/>
      <c r="I572" s="16"/>
      <c r="J572" s="16"/>
      <c r="K572" s="16"/>
      <c r="L572" s="16"/>
      <c r="M572" s="15"/>
      <c r="N572" s="16"/>
      <c r="O572" s="16"/>
      <c r="P572" s="16"/>
      <c r="Q572" s="16"/>
      <c r="R572" s="16"/>
      <c r="S572" s="16"/>
      <c r="T572" s="16"/>
      <c r="U572" s="16"/>
      <c r="V572" s="16"/>
    </row>
    <row r="573" spans="1:22" ht="13.2">
      <c r="A573" s="12"/>
      <c r="B573" s="46"/>
      <c r="C573" s="12"/>
      <c r="D573" s="15"/>
      <c r="E573" s="15"/>
      <c r="F573" s="15"/>
      <c r="G573" s="16"/>
      <c r="H573" s="16"/>
      <c r="I573" s="16"/>
      <c r="J573" s="16"/>
      <c r="K573" s="16"/>
      <c r="L573" s="16"/>
      <c r="M573" s="15"/>
      <c r="N573" s="16"/>
      <c r="O573" s="16"/>
      <c r="P573" s="16"/>
      <c r="Q573" s="16"/>
      <c r="R573" s="16"/>
      <c r="S573" s="16"/>
      <c r="T573" s="16"/>
      <c r="U573" s="16"/>
      <c r="V573" s="16"/>
    </row>
    <row r="574" spans="1:22" ht="13.2">
      <c r="A574" s="12"/>
      <c r="B574" s="46"/>
      <c r="C574" s="12"/>
      <c r="D574" s="15"/>
      <c r="E574" s="15"/>
      <c r="F574" s="15"/>
      <c r="G574" s="16"/>
      <c r="H574" s="16"/>
      <c r="I574" s="16"/>
      <c r="J574" s="16"/>
      <c r="K574" s="16"/>
      <c r="L574" s="16"/>
      <c r="M574" s="15"/>
      <c r="N574" s="16"/>
      <c r="O574" s="16"/>
      <c r="P574" s="16"/>
      <c r="Q574" s="16"/>
      <c r="R574" s="16"/>
      <c r="S574" s="16"/>
      <c r="T574" s="16"/>
      <c r="U574" s="16"/>
      <c r="V574" s="16"/>
    </row>
    <row r="575" spans="1:22" ht="13.2">
      <c r="A575" s="12"/>
      <c r="B575" s="46"/>
      <c r="C575" s="12"/>
      <c r="D575" s="15"/>
      <c r="E575" s="15"/>
      <c r="F575" s="15"/>
      <c r="G575" s="16"/>
      <c r="H575" s="16"/>
      <c r="I575" s="16"/>
      <c r="J575" s="16"/>
      <c r="K575" s="16"/>
      <c r="L575" s="16"/>
      <c r="M575" s="15"/>
      <c r="N575" s="16"/>
      <c r="O575" s="16"/>
      <c r="P575" s="16"/>
      <c r="Q575" s="16"/>
      <c r="R575" s="16"/>
      <c r="S575" s="16"/>
      <c r="T575" s="16"/>
      <c r="U575" s="16"/>
      <c r="V575" s="16"/>
    </row>
    <row r="576" spans="1:22" ht="13.2">
      <c r="A576" s="12"/>
      <c r="B576" s="46"/>
      <c r="C576" s="12"/>
      <c r="D576" s="15"/>
      <c r="E576" s="15"/>
      <c r="F576" s="15"/>
      <c r="G576" s="16"/>
      <c r="H576" s="16"/>
      <c r="I576" s="16"/>
      <c r="J576" s="16"/>
      <c r="K576" s="16"/>
      <c r="L576" s="16"/>
      <c r="M576" s="15"/>
      <c r="N576" s="16"/>
      <c r="O576" s="16"/>
      <c r="P576" s="16"/>
      <c r="Q576" s="16"/>
      <c r="R576" s="16"/>
      <c r="S576" s="16"/>
      <c r="T576" s="16"/>
      <c r="U576" s="16"/>
      <c r="V576" s="16"/>
    </row>
    <row r="577" spans="1:22" ht="13.2">
      <c r="A577" s="12"/>
      <c r="B577" s="46"/>
      <c r="C577" s="12"/>
      <c r="D577" s="15"/>
      <c r="E577" s="15"/>
      <c r="F577" s="15"/>
      <c r="G577" s="16"/>
      <c r="H577" s="16"/>
      <c r="I577" s="16"/>
      <c r="J577" s="16"/>
      <c r="K577" s="16"/>
      <c r="L577" s="16"/>
      <c r="M577" s="15"/>
      <c r="N577" s="16"/>
      <c r="O577" s="16"/>
      <c r="P577" s="16"/>
      <c r="Q577" s="16"/>
      <c r="R577" s="16"/>
      <c r="S577" s="16"/>
      <c r="T577" s="16"/>
      <c r="U577" s="16"/>
      <c r="V577" s="16"/>
    </row>
    <row r="578" spans="1:22" ht="13.2">
      <c r="A578" s="12"/>
      <c r="B578" s="46"/>
      <c r="C578" s="12"/>
      <c r="D578" s="15"/>
      <c r="E578" s="15"/>
      <c r="F578" s="15"/>
      <c r="G578" s="16"/>
      <c r="H578" s="16"/>
      <c r="I578" s="16"/>
      <c r="J578" s="16"/>
      <c r="K578" s="16"/>
      <c r="L578" s="16"/>
      <c r="M578" s="15"/>
      <c r="N578" s="16"/>
      <c r="O578" s="16"/>
      <c r="P578" s="16"/>
      <c r="Q578" s="16"/>
      <c r="R578" s="16"/>
      <c r="S578" s="16"/>
      <c r="T578" s="16"/>
      <c r="U578" s="16"/>
      <c r="V578" s="16"/>
    </row>
    <row r="579" spans="1:22" ht="13.2">
      <c r="A579" s="12"/>
      <c r="B579" s="46"/>
      <c r="C579" s="12"/>
      <c r="D579" s="15"/>
      <c r="E579" s="15"/>
      <c r="F579" s="15"/>
      <c r="G579" s="16"/>
      <c r="H579" s="16"/>
      <c r="I579" s="16"/>
      <c r="J579" s="16"/>
      <c r="K579" s="16"/>
      <c r="L579" s="16"/>
      <c r="M579" s="15"/>
      <c r="N579" s="16"/>
      <c r="O579" s="16"/>
      <c r="P579" s="16"/>
      <c r="Q579" s="16"/>
      <c r="R579" s="16"/>
      <c r="S579" s="16"/>
      <c r="T579" s="16"/>
      <c r="U579" s="16"/>
      <c r="V579" s="16"/>
    </row>
    <row r="580" spans="1:22" ht="13.2">
      <c r="A580" s="12"/>
      <c r="B580" s="46"/>
      <c r="C580" s="12"/>
      <c r="D580" s="15"/>
      <c r="E580" s="15"/>
      <c r="F580" s="15"/>
      <c r="G580" s="16"/>
      <c r="H580" s="16"/>
      <c r="I580" s="16"/>
      <c r="J580" s="16"/>
      <c r="K580" s="16"/>
      <c r="L580" s="16"/>
      <c r="M580" s="15"/>
      <c r="N580" s="16"/>
      <c r="O580" s="16"/>
      <c r="P580" s="16"/>
      <c r="Q580" s="16"/>
      <c r="R580" s="16"/>
      <c r="S580" s="16"/>
      <c r="T580" s="16"/>
      <c r="U580" s="16"/>
      <c r="V580" s="16"/>
    </row>
    <row r="581" spans="1:22" ht="13.2">
      <c r="A581" s="12"/>
      <c r="B581" s="46"/>
      <c r="C581" s="12"/>
      <c r="D581" s="15"/>
      <c r="E581" s="15"/>
      <c r="F581" s="15"/>
      <c r="G581" s="16"/>
      <c r="H581" s="16"/>
      <c r="I581" s="16"/>
      <c r="J581" s="16"/>
      <c r="K581" s="16"/>
      <c r="L581" s="16"/>
      <c r="M581" s="15"/>
      <c r="N581" s="16"/>
      <c r="O581" s="16"/>
      <c r="P581" s="16"/>
      <c r="Q581" s="16"/>
      <c r="R581" s="16"/>
      <c r="S581" s="16"/>
      <c r="T581" s="16"/>
      <c r="U581" s="16"/>
      <c r="V581" s="16"/>
    </row>
    <row r="582" spans="1:22" ht="13.2">
      <c r="A582" s="12"/>
      <c r="B582" s="46"/>
      <c r="C582" s="12"/>
      <c r="D582" s="15"/>
      <c r="E582" s="15"/>
      <c r="F582" s="15"/>
      <c r="G582" s="16"/>
      <c r="H582" s="16"/>
      <c r="I582" s="16"/>
      <c r="J582" s="16"/>
      <c r="K582" s="16"/>
      <c r="L582" s="16"/>
      <c r="M582" s="15"/>
      <c r="N582" s="16"/>
      <c r="O582" s="16"/>
      <c r="P582" s="16"/>
      <c r="Q582" s="16"/>
      <c r="R582" s="16"/>
      <c r="S582" s="16"/>
      <c r="T582" s="16"/>
      <c r="U582" s="16"/>
      <c r="V582" s="16"/>
    </row>
    <row r="583" spans="1:22" ht="13.2">
      <c r="A583" s="12"/>
      <c r="B583" s="46"/>
      <c r="C583" s="12"/>
      <c r="D583" s="15"/>
      <c r="E583" s="15"/>
      <c r="F583" s="15"/>
      <c r="G583" s="16"/>
      <c r="H583" s="16"/>
      <c r="I583" s="16"/>
      <c r="J583" s="16"/>
      <c r="K583" s="16"/>
      <c r="L583" s="16"/>
      <c r="M583" s="15"/>
      <c r="N583" s="16"/>
      <c r="O583" s="16"/>
      <c r="P583" s="16"/>
      <c r="Q583" s="16"/>
      <c r="R583" s="16"/>
      <c r="S583" s="16"/>
      <c r="T583" s="16"/>
      <c r="U583" s="16"/>
      <c r="V583" s="16"/>
    </row>
    <row r="584" spans="1:22" ht="13.2">
      <c r="A584" s="12"/>
      <c r="B584" s="46"/>
      <c r="C584" s="12"/>
      <c r="D584" s="15"/>
      <c r="E584" s="15"/>
      <c r="F584" s="15"/>
      <c r="G584" s="16"/>
      <c r="H584" s="16"/>
      <c r="I584" s="16"/>
      <c r="J584" s="16"/>
      <c r="K584" s="16"/>
      <c r="L584" s="16"/>
      <c r="M584" s="15"/>
      <c r="N584" s="16"/>
      <c r="O584" s="16"/>
      <c r="P584" s="16"/>
      <c r="Q584" s="16"/>
      <c r="R584" s="16"/>
      <c r="S584" s="16"/>
      <c r="T584" s="16"/>
      <c r="U584" s="16"/>
      <c r="V584" s="16"/>
    </row>
    <row r="585" spans="1:22" ht="13.2">
      <c r="A585" s="12"/>
      <c r="B585" s="46"/>
      <c r="C585" s="12"/>
      <c r="D585" s="15"/>
      <c r="E585" s="15"/>
      <c r="F585" s="15"/>
      <c r="G585" s="16"/>
      <c r="H585" s="16"/>
      <c r="I585" s="16"/>
      <c r="J585" s="16"/>
      <c r="K585" s="16"/>
      <c r="L585" s="16"/>
      <c r="M585" s="15"/>
      <c r="N585" s="16"/>
      <c r="O585" s="16"/>
      <c r="P585" s="16"/>
      <c r="Q585" s="16"/>
      <c r="R585" s="16"/>
      <c r="S585" s="16"/>
      <c r="T585" s="16"/>
      <c r="U585" s="16"/>
      <c r="V585" s="16"/>
    </row>
    <row r="586" spans="1:22" ht="13.2">
      <c r="A586" s="12"/>
      <c r="B586" s="46"/>
      <c r="C586" s="12"/>
      <c r="D586" s="15"/>
      <c r="E586" s="15"/>
      <c r="F586" s="15"/>
      <c r="G586" s="16"/>
      <c r="H586" s="16"/>
      <c r="I586" s="16"/>
      <c r="J586" s="16"/>
      <c r="K586" s="16"/>
      <c r="L586" s="16"/>
      <c r="M586" s="15"/>
      <c r="N586" s="16"/>
      <c r="O586" s="16"/>
      <c r="P586" s="16"/>
      <c r="Q586" s="16"/>
      <c r="R586" s="16"/>
      <c r="S586" s="16"/>
      <c r="T586" s="16"/>
      <c r="U586" s="16"/>
      <c r="V586" s="16"/>
    </row>
    <row r="587" spans="1:22" ht="13.2">
      <c r="A587" s="12"/>
      <c r="B587" s="46"/>
      <c r="C587" s="12"/>
      <c r="D587" s="15"/>
      <c r="E587" s="15"/>
      <c r="F587" s="15"/>
      <c r="G587" s="16"/>
      <c r="H587" s="16"/>
      <c r="I587" s="16"/>
      <c r="J587" s="16"/>
      <c r="K587" s="16"/>
      <c r="L587" s="16"/>
      <c r="M587" s="15"/>
      <c r="N587" s="16"/>
      <c r="O587" s="16"/>
      <c r="P587" s="16"/>
      <c r="Q587" s="16"/>
      <c r="R587" s="16"/>
      <c r="S587" s="16"/>
      <c r="T587" s="16"/>
      <c r="U587" s="16"/>
      <c r="V587" s="16"/>
    </row>
    <row r="588" spans="1:22" ht="13.2">
      <c r="A588" s="12"/>
      <c r="B588" s="46"/>
      <c r="C588" s="12"/>
      <c r="D588" s="15"/>
      <c r="E588" s="15"/>
      <c r="F588" s="15"/>
      <c r="G588" s="16"/>
      <c r="H588" s="16"/>
      <c r="I588" s="16"/>
      <c r="J588" s="16"/>
      <c r="K588" s="16"/>
      <c r="L588" s="16"/>
      <c r="M588" s="15"/>
      <c r="N588" s="16"/>
      <c r="O588" s="16"/>
      <c r="P588" s="16"/>
      <c r="Q588" s="16"/>
      <c r="R588" s="16"/>
      <c r="S588" s="16"/>
      <c r="T588" s="16"/>
      <c r="U588" s="16"/>
      <c r="V588" s="16"/>
    </row>
    <row r="589" spans="1:22" ht="13.2">
      <c r="A589" s="12"/>
      <c r="B589" s="46"/>
      <c r="C589" s="12"/>
      <c r="D589" s="15"/>
      <c r="E589" s="15"/>
      <c r="F589" s="15"/>
      <c r="G589" s="16"/>
      <c r="H589" s="16"/>
      <c r="I589" s="16"/>
      <c r="J589" s="16"/>
      <c r="K589" s="16"/>
      <c r="L589" s="16"/>
      <c r="M589" s="15"/>
      <c r="N589" s="16"/>
      <c r="O589" s="16"/>
      <c r="P589" s="16"/>
      <c r="Q589" s="16"/>
      <c r="R589" s="16"/>
      <c r="S589" s="16"/>
      <c r="T589" s="16"/>
      <c r="U589" s="16"/>
      <c r="V589" s="16"/>
    </row>
    <row r="590" spans="1:22" ht="13.2">
      <c r="A590" s="12"/>
      <c r="B590" s="46"/>
      <c r="C590" s="12"/>
      <c r="D590" s="15"/>
      <c r="E590" s="15"/>
      <c r="F590" s="15"/>
      <c r="G590" s="16"/>
      <c r="H590" s="16"/>
      <c r="I590" s="16"/>
      <c r="J590" s="16"/>
      <c r="K590" s="16"/>
      <c r="L590" s="16"/>
      <c r="M590" s="15"/>
      <c r="N590" s="16"/>
      <c r="O590" s="16"/>
      <c r="P590" s="16"/>
      <c r="Q590" s="16"/>
      <c r="R590" s="16"/>
      <c r="S590" s="16"/>
      <c r="T590" s="16"/>
      <c r="U590" s="16"/>
      <c r="V590" s="16"/>
    </row>
    <row r="591" spans="1:22" ht="13.2">
      <c r="A591" s="12"/>
      <c r="B591" s="46"/>
      <c r="C591" s="12"/>
      <c r="D591" s="15"/>
      <c r="E591" s="15"/>
      <c r="F591" s="15"/>
      <c r="G591" s="16"/>
      <c r="H591" s="16"/>
      <c r="I591" s="16"/>
      <c r="J591" s="16"/>
      <c r="K591" s="16"/>
      <c r="L591" s="16"/>
      <c r="M591" s="15"/>
      <c r="N591" s="16"/>
      <c r="O591" s="16"/>
      <c r="P591" s="16"/>
      <c r="Q591" s="16"/>
      <c r="R591" s="16"/>
      <c r="S591" s="16"/>
      <c r="T591" s="16"/>
      <c r="U591" s="16"/>
      <c r="V591" s="16"/>
    </row>
    <row r="592" spans="1:22" ht="13.2">
      <c r="A592" s="12"/>
      <c r="B592" s="46"/>
      <c r="C592" s="12"/>
      <c r="D592" s="15"/>
      <c r="E592" s="15"/>
      <c r="F592" s="15"/>
      <c r="G592" s="16"/>
      <c r="H592" s="16"/>
      <c r="I592" s="16"/>
      <c r="J592" s="16"/>
      <c r="K592" s="16"/>
      <c r="L592" s="16"/>
      <c r="M592" s="15"/>
      <c r="N592" s="16"/>
      <c r="O592" s="16"/>
      <c r="P592" s="16"/>
      <c r="Q592" s="16"/>
      <c r="R592" s="16"/>
      <c r="S592" s="16"/>
      <c r="T592" s="16"/>
      <c r="U592" s="16"/>
      <c r="V592" s="16"/>
    </row>
    <row r="593" spans="1:22" ht="13.2">
      <c r="A593" s="12"/>
      <c r="B593" s="46"/>
      <c r="C593" s="12"/>
      <c r="D593" s="15"/>
      <c r="E593" s="15"/>
      <c r="F593" s="15"/>
      <c r="G593" s="16"/>
      <c r="H593" s="16"/>
      <c r="I593" s="16"/>
      <c r="J593" s="16"/>
      <c r="K593" s="16"/>
      <c r="L593" s="16"/>
      <c r="M593" s="15"/>
      <c r="N593" s="16"/>
      <c r="O593" s="16"/>
      <c r="P593" s="16"/>
      <c r="Q593" s="16"/>
      <c r="R593" s="16"/>
      <c r="S593" s="16"/>
      <c r="T593" s="16"/>
      <c r="U593" s="16"/>
      <c r="V593" s="16"/>
    </row>
    <row r="594" spans="1:22" ht="13.2">
      <c r="A594" s="12"/>
      <c r="B594" s="46"/>
      <c r="C594" s="12"/>
      <c r="D594" s="15"/>
      <c r="E594" s="15"/>
      <c r="F594" s="15"/>
      <c r="G594" s="16"/>
      <c r="H594" s="16"/>
      <c r="I594" s="16"/>
      <c r="J594" s="16"/>
      <c r="K594" s="16"/>
      <c r="L594" s="16"/>
      <c r="M594" s="15"/>
      <c r="N594" s="16"/>
      <c r="O594" s="16"/>
      <c r="P594" s="16"/>
      <c r="Q594" s="16"/>
      <c r="R594" s="16"/>
      <c r="S594" s="16"/>
      <c r="T594" s="16"/>
      <c r="U594" s="16"/>
      <c r="V594" s="16"/>
    </row>
    <row r="595" spans="1:22" ht="13.2">
      <c r="A595" s="12"/>
      <c r="B595" s="46"/>
      <c r="C595" s="12"/>
      <c r="D595" s="15"/>
      <c r="E595" s="15"/>
      <c r="F595" s="15"/>
      <c r="G595" s="16"/>
      <c r="H595" s="16"/>
      <c r="I595" s="16"/>
      <c r="J595" s="16"/>
      <c r="K595" s="16"/>
      <c r="L595" s="16"/>
      <c r="M595" s="15"/>
      <c r="N595" s="16"/>
      <c r="O595" s="16"/>
      <c r="P595" s="16"/>
      <c r="Q595" s="16"/>
      <c r="R595" s="16"/>
      <c r="S595" s="16"/>
      <c r="T595" s="16"/>
      <c r="U595" s="16"/>
      <c r="V595" s="16"/>
    </row>
    <row r="596" spans="1:22" ht="13.2">
      <c r="A596" s="12"/>
      <c r="B596" s="46"/>
      <c r="C596" s="12"/>
      <c r="D596" s="15"/>
      <c r="E596" s="15"/>
      <c r="F596" s="15"/>
      <c r="G596" s="16"/>
      <c r="H596" s="16"/>
      <c r="I596" s="16"/>
      <c r="J596" s="16"/>
      <c r="K596" s="16"/>
      <c r="L596" s="16"/>
      <c r="M596" s="15"/>
      <c r="N596" s="16"/>
      <c r="O596" s="16"/>
      <c r="P596" s="16"/>
      <c r="Q596" s="16"/>
      <c r="R596" s="16"/>
      <c r="S596" s="16"/>
      <c r="T596" s="16"/>
      <c r="U596" s="16"/>
      <c r="V596" s="16"/>
    </row>
    <row r="597" spans="1:22" ht="13.2">
      <c r="A597" s="12"/>
      <c r="B597" s="46"/>
      <c r="C597" s="12"/>
      <c r="D597" s="15"/>
      <c r="E597" s="15"/>
      <c r="F597" s="15"/>
      <c r="G597" s="16"/>
      <c r="H597" s="16"/>
      <c r="I597" s="16"/>
      <c r="J597" s="16"/>
      <c r="K597" s="16"/>
      <c r="L597" s="16"/>
      <c r="M597" s="15"/>
      <c r="N597" s="16"/>
      <c r="O597" s="16"/>
      <c r="P597" s="16"/>
      <c r="Q597" s="16"/>
      <c r="R597" s="16"/>
      <c r="S597" s="16"/>
      <c r="T597" s="16"/>
      <c r="U597" s="16"/>
      <c r="V597" s="16"/>
    </row>
    <row r="598" spans="1:22" ht="13.2">
      <c r="A598" s="12"/>
      <c r="B598" s="46"/>
      <c r="C598" s="12"/>
      <c r="D598" s="15"/>
      <c r="E598" s="15"/>
      <c r="F598" s="15"/>
      <c r="G598" s="16"/>
      <c r="H598" s="16"/>
      <c r="I598" s="16"/>
      <c r="J598" s="16"/>
      <c r="K598" s="16"/>
      <c r="L598" s="16"/>
      <c r="M598" s="15"/>
      <c r="N598" s="16"/>
      <c r="O598" s="16"/>
      <c r="P598" s="16"/>
      <c r="Q598" s="16"/>
      <c r="R598" s="16"/>
      <c r="S598" s="16"/>
      <c r="T598" s="16"/>
      <c r="U598" s="16"/>
      <c r="V598" s="16"/>
    </row>
    <row r="599" spans="1:22" ht="13.2">
      <c r="A599" s="12"/>
      <c r="B599" s="46"/>
      <c r="C599" s="12"/>
      <c r="D599" s="15"/>
      <c r="E599" s="15"/>
      <c r="F599" s="15"/>
      <c r="G599" s="16"/>
      <c r="H599" s="16"/>
      <c r="I599" s="16"/>
      <c r="J599" s="16"/>
      <c r="K599" s="16"/>
      <c r="L599" s="16"/>
      <c r="M599" s="15"/>
      <c r="N599" s="16"/>
      <c r="O599" s="16"/>
      <c r="P599" s="16"/>
      <c r="Q599" s="16"/>
      <c r="R599" s="16"/>
      <c r="S599" s="16"/>
      <c r="T599" s="16"/>
      <c r="U599" s="16"/>
      <c r="V599" s="16"/>
    </row>
    <row r="600" spans="1:22" ht="13.2">
      <c r="A600" s="12"/>
      <c r="B600" s="46"/>
      <c r="C600" s="12"/>
      <c r="D600" s="15"/>
      <c r="E600" s="15"/>
      <c r="F600" s="15"/>
      <c r="G600" s="16"/>
      <c r="H600" s="16"/>
      <c r="I600" s="16"/>
      <c r="J600" s="16"/>
      <c r="K600" s="16"/>
      <c r="L600" s="16"/>
      <c r="M600" s="15"/>
      <c r="N600" s="16"/>
      <c r="O600" s="16"/>
      <c r="P600" s="16"/>
      <c r="Q600" s="16"/>
      <c r="R600" s="16"/>
      <c r="S600" s="16"/>
      <c r="T600" s="16"/>
      <c r="U600" s="16"/>
      <c r="V600" s="16"/>
    </row>
    <row r="601" spans="1:22" ht="13.2">
      <c r="A601" s="12"/>
      <c r="B601" s="46"/>
      <c r="C601" s="12"/>
      <c r="D601" s="15"/>
      <c r="E601" s="15"/>
      <c r="F601" s="15"/>
      <c r="G601" s="16"/>
      <c r="H601" s="16"/>
      <c r="I601" s="16"/>
      <c r="J601" s="16"/>
      <c r="K601" s="16"/>
      <c r="L601" s="16"/>
      <c r="M601" s="15"/>
      <c r="N601" s="16"/>
      <c r="O601" s="16"/>
      <c r="P601" s="16"/>
      <c r="Q601" s="16"/>
      <c r="R601" s="16"/>
      <c r="S601" s="16"/>
      <c r="T601" s="16"/>
      <c r="U601" s="16"/>
      <c r="V601" s="16"/>
    </row>
    <row r="602" spans="1:22" ht="13.2">
      <c r="A602" s="12"/>
      <c r="B602" s="46"/>
      <c r="C602" s="12"/>
      <c r="D602" s="15"/>
      <c r="E602" s="15"/>
      <c r="F602" s="15"/>
      <c r="G602" s="16"/>
      <c r="H602" s="16"/>
      <c r="I602" s="16"/>
      <c r="J602" s="16"/>
      <c r="K602" s="16"/>
      <c r="L602" s="16"/>
      <c r="M602" s="15"/>
      <c r="N602" s="16"/>
      <c r="O602" s="16"/>
      <c r="P602" s="16"/>
      <c r="Q602" s="16"/>
      <c r="R602" s="16"/>
      <c r="S602" s="16"/>
      <c r="T602" s="16"/>
      <c r="U602" s="16"/>
      <c r="V602" s="16"/>
    </row>
    <row r="603" spans="1:22" ht="13.2">
      <c r="A603" s="12"/>
      <c r="B603" s="46"/>
      <c r="C603" s="12"/>
      <c r="D603" s="15"/>
      <c r="E603" s="15"/>
      <c r="F603" s="15"/>
      <c r="G603" s="16"/>
      <c r="H603" s="16"/>
      <c r="I603" s="16"/>
      <c r="J603" s="16"/>
      <c r="K603" s="16"/>
      <c r="L603" s="16"/>
      <c r="M603" s="15"/>
      <c r="N603" s="16"/>
      <c r="O603" s="16"/>
      <c r="P603" s="16"/>
      <c r="Q603" s="16"/>
      <c r="R603" s="16"/>
      <c r="S603" s="16"/>
      <c r="T603" s="16"/>
      <c r="U603" s="16"/>
      <c r="V603" s="16"/>
    </row>
    <row r="604" spans="1:22" ht="13.2">
      <c r="A604" s="12"/>
      <c r="B604" s="46"/>
      <c r="C604" s="12"/>
      <c r="D604" s="15"/>
      <c r="E604" s="15"/>
      <c r="F604" s="15"/>
      <c r="G604" s="16"/>
      <c r="H604" s="16"/>
      <c r="I604" s="16"/>
      <c r="J604" s="16"/>
      <c r="K604" s="16"/>
      <c r="L604" s="16"/>
      <c r="M604" s="15"/>
      <c r="N604" s="16"/>
      <c r="O604" s="16"/>
      <c r="P604" s="16"/>
      <c r="Q604" s="16"/>
      <c r="R604" s="16"/>
      <c r="S604" s="16"/>
      <c r="T604" s="16"/>
      <c r="U604" s="16"/>
      <c r="V604" s="16"/>
    </row>
    <row r="605" spans="1:22" ht="13.2">
      <c r="A605" s="12"/>
      <c r="B605" s="46"/>
      <c r="C605" s="12"/>
      <c r="D605" s="15"/>
      <c r="E605" s="15"/>
      <c r="F605" s="15"/>
      <c r="G605" s="16"/>
      <c r="H605" s="16"/>
      <c r="I605" s="16"/>
      <c r="J605" s="16"/>
      <c r="K605" s="16"/>
      <c r="L605" s="16"/>
      <c r="M605" s="15"/>
      <c r="N605" s="16"/>
      <c r="O605" s="16"/>
      <c r="P605" s="16"/>
      <c r="Q605" s="16"/>
      <c r="R605" s="16"/>
      <c r="S605" s="16"/>
      <c r="T605" s="16"/>
      <c r="U605" s="16"/>
      <c r="V605" s="16"/>
    </row>
    <row r="606" spans="1:22" ht="13.2">
      <c r="A606" s="12"/>
      <c r="B606" s="46"/>
      <c r="C606" s="12"/>
      <c r="D606" s="15"/>
      <c r="E606" s="15"/>
      <c r="F606" s="15"/>
      <c r="G606" s="16"/>
      <c r="H606" s="16"/>
      <c r="I606" s="16"/>
      <c r="J606" s="16"/>
      <c r="K606" s="16"/>
      <c r="L606" s="16"/>
      <c r="M606" s="15"/>
      <c r="N606" s="16"/>
      <c r="O606" s="16"/>
      <c r="P606" s="16"/>
      <c r="Q606" s="16"/>
      <c r="R606" s="16"/>
      <c r="S606" s="16"/>
      <c r="T606" s="16"/>
      <c r="U606" s="16"/>
      <c r="V606" s="16"/>
    </row>
    <row r="607" spans="1:22" ht="13.2">
      <c r="A607" s="12"/>
      <c r="B607" s="46"/>
      <c r="C607" s="12"/>
      <c r="D607" s="15"/>
      <c r="E607" s="15"/>
      <c r="F607" s="15"/>
      <c r="G607" s="16"/>
      <c r="H607" s="16"/>
      <c r="I607" s="16"/>
      <c r="J607" s="16"/>
      <c r="K607" s="16"/>
      <c r="L607" s="16"/>
      <c r="M607" s="15"/>
      <c r="N607" s="16"/>
      <c r="O607" s="16"/>
      <c r="P607" s="16"/>
      <c r="Q607" s="16"/>
      <c r="R607" s="16"/>
      <c r="S607" s="16"/>
      <c r="T607" s="16"/>
      <c r="U607" s="16"/>
      <c r="V607" s="16"/>
    </row>
    <row r="608" spans="1:22" ht="13.2">
      <c r="A608" s="12"/>
      <c r="B608" s="46"/>
      <c r="C608" s="12"/>
      <c r="D608" s="15"/>
      <c r="E608" s="15"/>
      <c r="F608" s="15"/>
      <c r="G608" s="16"/>
      <c r="H608" s="16"/>
      <c r="I608" s="16"/>
      <c r="J608" s="16"/>
      <c r="K608" s="16"/>
      <c r="L608" s="16"/>
      <c r="M608" s="15"/>
      <c r="N608" s="16"/>
      <c r="O608" s="16"/>
      <c r="P608" s="16"/>
      <c r="Q608" s="16"/>
      <c r="R608" s="16"/>
      <c r="S608" s="16"/>
      <c r="T608" s="16"/>
      <c r="U608" s="16"/>
      <c r="V608" s="16"/>
    </row>
    <row r="609" spans="1:22" ht="13.2">
      <c r="A609" s="12"/>
      <c r="B609" s="46"/>
      <c r="C609" s="12"/>
      <c r="D609" s="15"/>
      <c r="E609" s="15"/>
      <c r="F609" s="15"/>
      <c r="G609" s="16"/>
      <c r="H609" s="16"/>
      <c r="I609" s="16"/>
      <c r="J609" s="16"/>
      <c r="K609" s="16"/>
      <c r="L609" s="16"/>
      <c r="M609" s="15"/>
      <c r="N609" s="16"/>
      <c r="O609" s="16"/>
      <c r="P609" s="16"/>
      <c r="Q609" s="16"/>
      <c r="R609" s="16"/>
      <c r="S609" s="16"/>
      <c r="T609" s="16"/>
      <c r="U609" s="16"/>
      <c r="V609" s="16"/>
    </row>
    <row r="610" spans="1:22" ht="13.2">
      <c r="A610" s="12"/>
      <c r="B610" s="46"/>
      <c r="C610" s="12"/>
      <c r="D610" s="15"/>
      <c r="E610" s="15"/>
      <c r="F610" s="15"/>
      <c r="G610" s="16"/>
      <c r="H610" s="16"/>
      <c r="I610" s="16"/>
      <c r="J610" s="16"/>
      <c r="K610" s="16"/>
      <c r="L610" s="16"/>
      <c r="M610" s="15"/>
      <c r="N610" s="16"/>
      <c r="O610" s="16"/>
      <c r="P610" s="16"/>
      <c r="Q610" s="16"/>
      <c r="R610" s="16"/>
      <c r="S610" s="16"/>
      <c r="T610" s="16"/>
      <c r="U610" s="16"/>
      <c r="V610" s="16"/>
    </row>
    <row r="611" spans="1:22" ht="13.2">
      <c r="A611" s="12"/>
      <c r="B611" s="46"/>
      <c r="C611" s="12"/>
      <c r="D611" s="15"/>
      <c r="E611" s="15"/>
      <c r="F611" s="15"/>
      <c r="G611" s="16"/>
      <c r="H611" s="16"/>
      <c r="I611" s="16"/>
      <c r="J611" s="16"/>
      <c r="K611" s="16"/>
      <c r="L611" s="16"/>
      <c r="M611" s="15"/>
      <c r="N611" s="16"/>
      <c r="O611" s="16"/>
      <c r="P611" s="16"/>
      <c r="Q611" s="16"/>
      <c r="R611" s="16"/>
      <c r="S611" s="16"/>
      <c r="T611" s="16"/>
      <c r="U611" s="16"/>
      <c r="V611" s="16"/>
    </row>
    <row r="612" spans="1:22" ht="13.2">
      <c r="A612" s="12"/>
      <c r="B612" s="46"/>
      <c r="C612" s="12"/>
      <c r="D612" s="15"/>
      <c r="E612" s="15"/>
      <c r="F612" s="15"/>
      <c r="G612" s="16"/>
      <c r="H612" s="16"/>
      <c r="I612" s="16"/>
      <c r="J612" s="16"/>
      <c r="K612" s="16"/>
      <c r="L612" s="16"/>
      <c r="M612" s="15"/>
      <c r="N612" s="16"/>
      <c r="O612" s="16"/>
      <c r="P612" s="16"/>
      <c r="Q612" s="16"/>
      <c r="R612" s="16"/>
      <c r="S612" s="16"/>
      <c r="T612" s="16"/>
      <c r="U612" s="16"/>
      <c r="V612" s="16"/>
    </row>
    <row r="613" spans="1:22" ht="13.2">
      <c r="A613" s="12"/>
      <c r="B613" s="46"/>
      <c r="C613" s="12"/>
      <c r="D613" s="15"/>
      <c r="E613" s="15"/>
      <c r="F613" s="15"/>
      <c r="G613" s="16"/>
      <c r="H613" s="16"/>
      <c r="I613" s="16"/>
      <c r="J613" s="16"/>
      <c r="K613" s="16"/>
      <c r="L613" s="16"/>
      <c r="M613" s="15"/>
      <c r="N613" s="16"/>
      <c r="O613" s="16"/>
      <c r="P613" s="16"/>
      <c r="Q613" s="16"/>
      <c r="R613" s="16"/>
      <c r="S613" s="16"/>
      <c r="T613" s="16"/>
      <c r="U613" s="16"/>
      <c r="V613" s="16"/>
    </row>
    <row r="614" spans="1:22" ht="13.2">
      <c r="A614" s="12"/>
      <c r="B614" s="46"/>
      <c r="C614" s="12"/>
      <c r="D614" s="15"/>
      <c r="E614" s="15"/>
      <c r="F614" s="15"/>
      <c r="G614" s="16"/>
      <c r="H614" s="16"/>
      <c r="I614" s="16"/>
      <c r="J614" s="16"/>
      <c r="K614" s="16"/>
      <c r="L614" s="16"/>
      <c r="M614" s="15"/>
      <c r="N614" s="16"/>
      <c r="O614" s="16"/>
      <c r="P614" s="16"/>
      <c r="Q614" s="16"/>
      <c r="R614" s="16"/>
      <c r="S614" s="16"/>
      <c r="T614" s="16"/>
      <c r="U614" s="16"/>
      <c r="V614" s="16"/>
    </row>
    <row r="615" spans="1:22" ht="13.2">
      <c r="A615" s="12"/>
      <c r="B615" s="46"/>
      <c r="C615" s="12"/>
      <c r="D615" s="15"/>
      <c r="E615" s="15"/>
      <c r="F615" s="15"/>
      <c r="G615" s="16"/>
      <c r="H615" s="16"/>
      <c r="I615" s="16"/>
      <c r="J615" s="16"/>
      <c r="K615" s="16"/>
      <c r="L615" s="16"/>
      <c r="M615" s="15"/>
      <c r="N615" s="16"/>
      <c r="O615" s="16"/>
      <c r="P615" s="16"/>
      <c r="Q615" s="16"/>
      <c r="R615" s="16"/>
      <c r="S615" s="16"/>
      <c r="T615" s="16"/>
      <c r="U615" s="16"/>
      <c r="V615" s="16"/>
    </row>
    <row r="616" spans="1:22" ht="13.2">
      <c r="A616" s="12"/>
      <c r="B616" s="46"/>
      <c r="C616" s="12"/>
      <c r="D616" s="15"/>
      <c r="E616" s="15"/>
      <c r="F616" s="15"/>
      <c r="G616" s="16"/>
      <c r="H616" s="16"/>
      <c r="I616" s="16"/>
      <c r="J616" s="16"/>
      <c r="K616" s="16"/>
      <c r="L616" s="16"/>
      <c r="M616" s="15"/>
      <c r="N616" s="16"/>
      <c r="O616" s="16"/>
      <c r="P616" s="16"/>
      <c r="Q616" s="16"/>
      <c r="R616" s="16"/>
      <c r="S616" s="16"/>
      <c r="T616" s="16"/>
      <c r="U616" s="16"/>
      <c r="V616" s="16"/>
    </row>
    <row r="617" spans="1:22" ht="13.2">
      <c r="A617" s="12"/>
      <c r="B617" s="46"/>
      <c r="C617" s="12"/>
      <c r="D617" s="15"/>
      <c r="E617" s="15"/>
      <c r="F617" s="15"/>
      <c r="G617" s="16"/>
      <c r="H617" s="16"/>
      <c r="I617" s="16"/>
      <c r="J617" s="16"/>
      <c r="K617" s="16"/>
      <c r="L617" s="16"/>
      <c r="M617" s="15"/>
      <c r="N617" s="16"/>
      <c r="O617" s="16"/>
      <c r="P617" s="16"/>
      <c r="Q617" s="16"/>
      <c r="R617" s="16"/>
      <c r="S617" s="16"/>
      <c r="T617" s="16"/>
      <c r="U617" s="16"/>
      <c r="V617" s="16"/>
    </row>
    <row r="618" spans="1:22" ht="13.2">
      <c r="A618" s="12"/>
      <c r="B618" s="46"/>
      <c r="C618" s="12"/>
      <c r="D618" s="15"/>
      <c r="E618" s="15"/>
      <c r="F618" s="15"/>
      <c r="G618" s="16"/>
      <c r="H618" s="16"/>
      <c r="I618" s="16"/>
      <c r="J618" s="16"/>
      <c r="K618" s="16"/>
      <c r="L618" s="16"/>
      <c r="M618" s="15"/>
      <c r="N618" s="16"/>
      <c r="O618" s="16"/>
      <c r="P618" s="16"/>
      <c r="Q618" s="16"/>
      <c r="R618" s="16"/>
      <c r="S618" s="16"/>
      <c r="T618" s="16"/>
      <c r="U618" s="16"/>
      <c r="V618" s="16"/>
    </row>
    <row r="619" spans="1:22" ht="13.2">
      <c r="A619" s="12"/>
      <c r="B619" s="46"/>
      <c r="C619" s="12"/>
      <c r="D619" s="15"/>
      <c r="E619" s="15"/>
      <c r="F619" s="15"/>
      <c r="G619" s="16"/>
      <c r="H619" s="16"/>
      <c r="I619" s="16"/>
      <c r="J619" s="16"/>
      <c r="K619" s="16"/>
      <c r="L619" s="16"/>
      <c r="M619" s="15"/>
      <c r="N619" s="16"/>
      <c r="O619" s="16"/>
      <c r="P619" s="16"/>
      <c r="Q619" s="16"/>
      <c r="R619" s="16"/>
      <c r="S619" s="16"/>
      <c r="T619" s="16"/>
      <c r="U619" s="16"/>
      <c r="V619" s="16"/>
    </row>
    <row r="620" spans="1:22" ht="13.2">
      <c r="A620" s="12"/>
      <c r="B620" s="46"/>
      <c r="C620" s="12"/>
      <c r="D620" s="15"/>
      <c r="E620" s="15"/>
      <c r="F620" s="15"/>
      <c r="G620" s="16"/>
      <c r="H620" s="16"/>
      <c r="I620" s="16"/>
      <c r="J620" s="16"/>
      <c r="K620" s="16"/>
      <c r="L620" s="16"/>
      <c r="M620" s="15"/>
      <c r="N620" s="16"/>
      <c r="O620" s="16"/>
      <c r="P620" s="16"/>
      <c r="Q620" s="16"/>
      <c r="R620" s="16"/>
      <c r="S620" s="16"/>
      <c r="T620" s="16"/>
      <c r="U620" s="16"/>
      <c r="V620" s="16"/>
    </row>
    <row r="621" spans="1:22" ht="13.2">
      <c r="A621" s="12"/>
      <c r="B621" s="46"/>
      <c r="C621" s="12"/>
      <c r="D621" s="15"/>
      <c r="E621" s="15"/>
      <c r="F621" s="15"/>
      <c r="G621" s="16"/>
      <c r="H621" s="16"/>
      <c r="I621" s="16"/>
      <c r="J621" s="16"/>
      <c r="K621" s="16"/>
      <c r="L621" s="16"/>
      <c r="M621" s="15"/>
      <c r="N621" s="16"/>
      <c r="O621" s="16"/>
      <c r="P621" s="16"/>
      <c r="Q621" s="16"/>
      <c r="R621" s="16"/>
      <c r="S621" s="16"/>
      <c r="T621" s="16"/>
      <c r="U621" s="16"/>
      <c r="V621" s="16"/>
    </row>
    <row r="622" spans="1:22" ht="13.2">
      <c r="A622" s="12"/>
      <c r="B622" s="46"/>
      <c r="C622" s="12"/>
      <c r="D622" s="15"/>
      <c r="E622" s="15"/>
      <c r="F622" s="15"/>
      <c r="G622" s="16"/>
      <c r="H622" s="16"/>
      <c r="I622" s="16"/>
      <c r="J622" s="16"/>
      <c r="K622" s="16"/>
      <c r="L622" s="16"/>
      <c r="M622" s="15"/>
      <c r="N622" s="16"/>
      <c r="O622" s="16"/>
      <c r="P622" s="16"/>
      <c r="Q622" s="16"/>
      <c r="R622" s="16"/>
      <c r="S622" s="16"/>
      <c r="T622" s="16"/>
      <c r="U622" s="16"/>
      <c r="V622" s="16"/>
    </row>
    <row r="623" spans="1:22" ht="13.2">
      <c r="A623" s="12"/>
      <c r="B623" s="46"/>
      <c r="C623" s="12"/>
      <c r="D623" s="15"/>
      <c r="E623" s="15"/>
      <c r="F623" s="15"/>
      <c r="G623" s="16"/>
      <c r="H623" s="16"/>
      <c r="I623" s="16"/>
      <c r="J623" s="16"/>
      <c r="K623" s="16"/>
      <c r="L623" s="16"/>
      <c r="M623" s="15"/>
      <c r="N623" s="16"/>
      <c r="O623" s="16"/>
      <c r="P623" s="16"/>
      <c r="Q623" s="16"/>
      <c r="R623" s="16"/>
      <c r="S623" s="16"/>
      <c r="T623" s="16"/>
      <c r="U623" s="16"/>
      <c r="V623" s="16"/>
    </row>
    <row r="624" spans="1:22" ht="13.2">
      <c r="A624" s="12"/>
      <c r="B624" s="46"/>
      <c r="C624" s="12"/>
      <c r="D624" s="15"/>
      <c r="E624" s="15"/>
      <c r="F624" s="15"/>
      <c r="G624" s="16"/>
      <c r="H624" s="16"/>
      <c r="I624" s="16"/>
      <c r="J624" s="16"/>
      <c r="K624" s="16"/>
      <c r="L624" s="16"/>
      <c r="M624" s="15"/>
      <c r="N624" s="16"/>
      <c r="O624" s="16"/>
      <c r="P624" s="16"/>
      <c r="Q624" s="16"/>
      <c r="R624" s="16"/>
      <c r="S624" s="16"/>
      <c r="T624" s="16"/>
      <c r="U624" s="16"/>
      <c r="V624" s="16"/>
    </row>
    <row r="625" spans="1:22" ht="13.2">
      <c r="A625" s="12"/>
      <c r="B625" s="46"/>
      <c r="C625" s="12"/>
      <c r="D625" s="15"/>
      <c r="E625" s="15"/>
      <c r="F625" s="15"/>
      <c r="G625" s="16"/>
      <c r="H625" s="16"/>
      <c r="I625" s="16"/>
      <c r="J625" s="16"/>
      <c r="K625" s="16"/>
      <c r="L625" s="16"/>
      <c r="M625" s="15"/>
      <c r="N625" s="16"/>
      <c r="O625" s="16"/>
      <c r="P625" s="16"/>
      <c r="Q625" s="16"/>
      <c r="R625" s="16"/>
      <c r="S625" s="16"/>
      <c r="T625" s="16"/>
      <c r="U625" s="16"/>
      <c r="V625" s="16"/>
    </row>
    <row r="626" spans="1:22" ht="13.2">
      <c r="A626" s="12"/>
      <c r="B626" s="46"/>
      <c r="C626" s="12"/>
      <c r="D626" s="15"/>
      <c r="E626" s="15"/>
      <c r="F626" s="15"/>
      <c r="G626" s="16"/>
      <c r="H626" s="16"/>
      <c r="I626" s="16"/>
      <c r="J626" s="16"/>
      <c r="K626" s="16"/>
      <c r="L626" s="16"/>
      <c r="M626" s="15"/>
      <c r="N626" s="16"/>
      <c r="O626" s="16"/>
      <c r="P626" s="16"/>
      <c r="Q626" s="16"/>
      <c r="R626" s="16"/>
      <c r="S626" s="16"/>
      <c r="T626" s="16"/>
      <c r="U626" s="16"/>
      <c r="V626" s="16"/>
    </row>
    <row r="627" spans="1:22" ht="13.2">
      <c r="A627" s="12"/>
      <c r="B627" s="46"/>
      <c r="C627" s="12"/>
      <c r="D627" s="15"/>
      <c r="E627" s="15"/>
      <c r="F627" s="15"/>
      <c r="G627" s="16"/>
      <c r="H627" s="16"/>
      <c r="I627" s="16"/>
      <c r="J627" s="16"/>
      <c r="K627" s="16"/>
      <c r="L627" s="16"/>
      <c r="M627" s="15"/>
      <c r="N627" s="16"/>
      <c r="O627" s="16"/>
      <c r="P627" s="16"/>
      <c r="Q627" s="16"/>
      <c r="R627" s="16"/>
      <c r="S627" s="16"/>
      <c r="T627" s="16"/>
      <c r="U627" s="16"/>
      <c r="V627" s="16"/>
    </row>
    <row r="628" spans="1:22" ht="13.2">
      <c r="A628" s="12"/>
      <c r="B628" s="46"/>
      <c r="C628" s="12"/>
      <c r="D628" s="15"/>
      <c r="E628" s="15"/>
      <c r="F628" s="15"/>
      <c r="G628" s="16"/>
      <c r="H628" s="16"/>
      <c r="I628" s="16"/>
      <c r="J628" s="16"/>
      <c r="K628" s="16"/>
      <c r="L628" s="16"/>
      <c r="M628" s="15"/>
      <c r="N628" s="16"/>
      <c r="O628" s="16"/>
      <c r="P628" s="16"/>
      <c r="Q628" s="16"/>
      <c r="R628" s="16"/>
      <c r="S628" s="16"/>
      <c r="T628" s="16"/>
      <c r="U628" s="16"/>
      <c r="V628" s="16"/>
    </row>
    <row r="629" spans="1:22" ht="13.2">
      <c r="A629" s="12"/>
      <c r="B629" s="46"/>
      <c r="C629" s="12"/>
      <c r="D629" s="15"/>
      <c r="E629" s="15"/>
      <c r="F629" s="15"/>
      <c r="G629" s="16"/>
      <c r="H629" s="16"/>
      <c r="I629" s="16"/>
      <c r="J629" s="16"/>
      <c r="K629" s="16"/>
      <c r="L629" s="16"/>
      <c r="M629" s="15"/>
      <c r="N629" s="16"/>
      <c r="O629" s="16"/>
      <c r="P629" s="16"/>
      <c r="Q629" s="16"/>
      <c r="R629" s="16"/>
      <c r="S629" s="16"/>
      <c r="T629" s="16"/>
      <c r="U629" s="16"/>
      <c r="V629" s="16"/>
    </row>
    <row r="630" spans="1:22" ht="13.2">
      <c r="A630" s="12"/>
      <c r="B630" s="46"/>
      <c r="C630" s="12"/>
      <c r="D630" s="15"/>
      <c r="E630" s="15"/>
      <c r="F630" s="15"/>
      <c r="G630" s="16"/>
      <c r="H630" s="16"/>
      <c r="I630" s="16"/>
      <c r="J630" s="16"/>
      <c r="K630" s="16"/>
      <c r="L630" s="16"/>
      <c r="M630" s="15"/>
      <c r="N630" s="16"/>
      <c r="O630" s="16"/>
      <c r="P630" s="16"/>
      <c r="Q630" s="16"/>
      <c r="R630" s="16"/>
      <c r="S630" s="16"/>
      <c r="T630" s="16"/>
      <c r="U630" s="16"/>
      <c r="V630" s="16"/>
    </row>
    <row r="631" spans="1:22" ht="13.2">
      <c r="A631" s="12"/>
      <c r="B631" s="46"/>
      <c r="C631" s="12"/>
      <c r="D631" s="15"/>
      <c r="E631" s="15"/>
      <c r="F631" s="15"/>
      <c r="G631" s="16"/>
      <c r="H631" s="16"/>
      <c r="I631" s="16"/>
      <c r="J631" s="16"/>
      <c r="K631" s="16"/>
      <c r="L631" s="16"/>
      <c r="M631" s="15"/>
      <c r="N631" s="16"/>
      <c r="O631" s="16"/>
      <c r="P631" s="16"/>
      <c r="Q631" s="16"/>
      <c r="R631" s="16"/>
      <c r="S631" s="16"/>
      <c r="T631" s="16"/>
      <c r="U631" s="16"/>
      <c r="V631" s="16"/>
    </row>
    <row r="632" spans="1:22" ht="13.2">
      <c r="A632" s="12"/>
      <c r="B632" s="46"/>
      <c r="C632" s="12"/>
      <c r="D632" s="15"/>
      <c r="E632" s="15"/>
      <c r="F632" s="15"/>
      <c r="G632" s="16"/>
      <c r="H632" s="16"/>
      <c r="I632" s="16"/>
      <c r="J632" s="16"/>
      <c r="K632" s="16"/>
      <c r="L632" s="16"/>
      <c r="M632" s="15"/>
      <c r="N632" s="16"/>
      <c r="O632" s="16"/>
      <c r="P632" s="16"/>
      <c r="Q632" s="16"/>
      <c r="R632" s="16"/>
      <c r="S632" s="16"/>
      <c r="T632" s="16"/>
      <c r="U632" s="16"/>
      <c r="V632" s="16"/>
    </row>
    <row r="633" spans="1:22" ht="13.2">
      <c r="A633" s="12"/>
      <c r="B633" s="46"/>
      <c r="C633" s="12"/>
      <c r="D633" s="15"/>
      <c r="E633" s="15"/>
      <c r="F633" s="15"/>
      <c r="G633" s="16"/>
      <c r="H633" s="16"/>
      <c r="I633" s="16"/>
      <c r="J633" s="16"/>
      <c r="K633" s="16"/>
      <c r="L633" s="16"/>
      <c r="M633" s="15"/>
      <c r="N633" s="16"/>
      <c r="O633" s="16"/>
      <c r="P633" s="16"/>
      <c r="Q633" s="16"/>
      <c r="R633" s="16"/>
      <c r="S633" s="16"/>
      <c r="T633" s="16"/>
      <c r="U633" s="16"/>
      <c r="V633" s="16"/>
    </row>
    <row r="634" spans="1:22" ht="13.2">
      <c r="A634" s="12"/>
      <c r="B634" s="46"/>
      <c r="C634" s="12"/>
      <c r="D634" s="15"/>
      <c r="E634" s="15"/>
      <c r="F634" s="15"/>
      <c r="G634" s="16"/>
      <c r="H634" s="16"/>
      <c r="I634" s="16"/>
      <c r="J634" s="16"/>
      <c r="K634" s="16"/>
      <c r="L634" s="16"/>
      <c r="M634" s="15"/>
      <c r="N634" s="16"/>
      <c r="O634" s="16"/>
      <c r="P634" s="16"/>
      <c r="Q634" s="16"/>
      <c r="R634" s="16"/>
      <c r="S634" s="16"/>
      <c r="T634" s="16"/>
      <c r="U634" s="16"/>
      <c r="V634" s="16"/>
    </row>
    <row r="635" spans="1:22" ht="13.2">
      <c r="A635" s="12"/>
      <c r="B635" s="46"/>
      <c r="C635" s="12"/>
      <c r="D635" s="15"/>
      <c r="E635" s="15"/>
      <c r="F635" s="15"/>
      <c r="G635" s="16"/>
      <c r="H635" s="16"/>
      <c r="I635" s="16"/>
      <c r="J635" s="16"/>
      <c r="K635" s="16"/>
      <c r="L635" s="16"/>
      <c r="M635" s="15"/>
      <c r="N635" s="16"/>
      <c r="O635" s="16"/>
      <c r="P635" s="16"/>
      <c r="Q635" s="16"/>
      <c r="R635" s="16"/>
      <c r="S635" s="16"/>
      <c r="T635" s="16"/>
      <c r="U635" s="16"/>
      <c r="V635" s="16"/>
    </row>
    <row r="636" spans="1:22" ht="13.2">
      <c r="A636" s="12"/>
      <c r="B636" s="46"/>
      <c r="C636" s="12"/>
      <c r="D636" s="15"/>
      <c r="E636" s="15"/>
      <c r="F636" s="15"/>
      <c r="G636" s="16"/>
      <c r="H636" s="16"/>
      <c r="I636" s="16"/>
      <c r="J636" s="16"/>
      <c r="K636" s="16"/>
      <c r="L636" s="16"/>
      <c r="M636" s="15"/>
      <c r="N636" s="16"/>
      <c r="O636" s="16"/>
      <c r="P636" s="16"/>
      <c r="Q636" s="16"/>
      <c r="R636" s="16"/>
      <c r="S636" s="16"/>
      <c r="T636" s="16"/>
      <c r="U636" s="16"/>
      <c r="V636" s="16"/>
    </row>
    <row r="637" spans="1:22" ht="13.2">
      <c r="A637" s="12"/>
      <c r="B637" s="46"/>
      <c r="C637" s="12"/>
      <c r="D637" s="15"/>
      <c r="E637" s="15"/>
      <c r="F637" s="15"/>
      <c r="G637" s="16"/>
      <c r="H637" s="16"/>
      <c r="I637" s="16"/>
      <c r="J637" s="16"/>
      <c r="K637" s="16"/>
      <c r="L637" s="16"/>
      <c r="M637" s="15"/>
      <c r="N637" s="16"/>
      <c r="O637" s="16"/>
      <c r="P637" s="16"/>
      <c r="Q637" s="16"/>
      <c r="R637" s="16"/>
      <c r="S637" s="16"/>
      <c r="T637" s="16"/>
      <c r="U637" s="16"/>
      <c r="V637" s="16"/>
    </row>
    <row r="638" spans="1:22" ht="13.2">
      <c r="A638" s="12"/>
      <c r="B638" s="46"/>
      <c r="C638" s="12"/>
      <c r="D638" s="15"/>
      <c r="E638" s="15"/>
      <c r="F638" s="15"/>
      <c r="G638" s="16"/>
      <c r="H638" s="16"/>
      <c r="I638" s="16"/>
      <c r="J638" s="16"/>
      <c r="K638" s="16"/>
      <c r="L638" s="16"/>
      <c r="M638" s="15"/>
      <c r="N638" s="16"/>
      <c r="O638" s="16"/>
      <c r="P638" s="16"/>
      <c r="Q638" s="16"/>
      <c r="R638" s="16"/>
      <c r="S638" s="16"/>
      <c r="T638" s="16"/>
      <c r="U638" s="16"/>
      <c r="V638" s="16"/>
    </row>
    <row r="639" spans="1:22" ht="13.2">
      <c r="A639" s="12"/>
      <c r="B639" s="46"/>
      <c r="C639" s="12"/>
      <c r="D639" s="15"/>
      <c r="E639" s="15"/>
      <c r="F639" s="15"/>
      <c r="G639" s="16"/>
      <c r="H639" s="16"/>
      <c r="I639" s="16"/>
      <c r="J639" s="16"/>
      <c r="K639" s="16"/>
      <c r="L639" s="16"/>
      <c r="M639" s="15"/>
      <c r="N639" s="16"/>
      <c r="O639" s="16"/>
      <c r="P639" s="16"/>
      <c r="Q639" s="16"/>
      <c r="R639" s="16"/>
      <c r="S639" s="16"/>
      <c r="T639" s="16"/>
      <c r="U639" s="16"/>
      <c r="V639" s="16"/>
    </row>
    <row r="640" spans="1:22" ht="13.2">
      <c r="A640" s="12"/>
      <c r="B640" s="46"/>
      <c r="C640" s="12"/>
      <c r="D640" s="15"/>
      <c r="E640" s="15"/>
      <c r="F640" s="15"/>
      <c r="G640" s="16"/>
      <c r="H640" s="16"/>
      <c r="I640" s="16"/>
      <c r="J640" s="16"/>
      <c r="K640" s="16"/>
      <c r="L640" s="16"/>
      <c r="M640" s="15"/>
      <c r="N640" s="16"/>
      <c r="O640" s="16"/>
      <c r="P640" s="16"/>
      <c r="Q640" s="16"/>
      <c r="R640" s="16"/>
      <c r="S640" s="16"/>
      <c r="T640" s="16"/>
      <c r="U640" s="16"/>
      <c r="V640" s="16"/>
    </row>
    <row r="641" spans="1:22" ht="13.2">
      <c r="A641" s="12"/>
      <c r="B641" s="46"/>
      <c r="C641" s="12"/>
      <c r="D641" s="15"/>
      <c r="E641" s="15"/>
      <c r="F641" s="15"/>
      <c r="G641" s="16"/>
      <c r="H641" s="16"/>
      <c r="I641" s="16"/>
      <c r="J641" s="16"/>
      <c r="K641" s="16"/>
      <c r="L641" s="16"/>
      <c r="M641" s="15"/>
      <c r="N641" s="16"/>
      <c r="O641" s="16"/>
      <c r="P641" s="16"/>
      <c r="Q641" s="16"/>
      <c r="R641" s="16"/>
      <c r="S641" s="16"/>
      <c r="T641" s="16"/>
      <c r="U641" s="16"/>
      <c r="V641" s="16"/>
    </row>
    <row r="642" spans="1:22" ht="13.2">
      <c r="A642" s="12"/>
      <c r="B642" s="46"/>
      <c r="C642" s="12"/>
      <c r="D642" s="15"/>
      <c r="E642" s="15"/>
      <c r="F642" s="15"/>
      <c r="G642" s="16"/>
      <c r="H642" s="16"/>
      <c r="I642" s="16"/>
      <c r="J642" s="16"/>
      <c r="K642" s="16"/>
      <c r="L642" s="16"/>
      <c r="M642" s="15"/>
      <c r="N642" s="16"/>
      <c r="O642" s="16"/>
      <c r="P642" s="16"/>
      <c r="Q642" s="16"/>
      <c r="R642" s="16"/>
      <c r="S642" s="16"/>
      <c r="T642" s="16"/>
      <c r="U642" s="16"/>
      <c r="V642" s="16"/>
    </row>
    <row r="643" spans="1:22" ht="13.2">
      <c r="A643" s="12"/>
      <c r="B643" s="46"/>
      <c r="C643" s="12"/>
      <c r="D643" s="15"/>
      <c r="E643" s="15"/>
      <c r="F643" s="15"/>
      <c r="G643" s="16"/>
      <c r="H643" s="16"/>
      <c r="I643" s="16"/>
      <c r="J643" s="16"/>
      <c r="K643" s="16"/>
      <c r="L643" s="16"/>
      <c r="M643" s="15"/>
      <c r="N643" s="16"/>
      <c r="O643" s="16"/>
      <c r="P643" s="16"/>
      <c r="Q643" s="16"/>
      <c r="R643" s="16"/>
      <c r="S643" s="16"/>
      <c r="T643" s="16"/>
      <c r="U643" s="16"/>
      <c r="V643" s="16"/>
    </row>
    <row r="644" spans="1:22" ht="13.2">
      <c r="A644" s="12"/>
      <c r="B644" s="46"/>
      <c r="C644" s="12"/>
      <c r="D644" s="15"/>
      <c r="E644" s="15"/>
      <c r="F644" s="15"/>
      <c r="G644" s="16"/>
      <c r="H644" s="16"/>
      <c r="I644" s="16"/>
      <c r="J644" s="16"/>
      <c r="K644" s="16"/>
      <c r="L644" s="16"/>
      <c r="M644" s="15"/>
      <c r="N644" s="16"/>
      <c r="O644" s="16"/>
      <c r="P644" s="16"/>
      <c r="Q644" s="16"/>
      <c r="R644" s="16"/>
      <c r="S644" s="16"/>
      <c r="T644" s="16"/>
      <c r="U644" s="16"/>
      <c r="V644" s="16"/>
    </row>
    <row r="645" spans="1:22" ht="13.2">
      <c r="A645" s="12"/>
      <c r="B645" s="46"/>
      <c r="C645" s="12"/>
      <c r="D645" s="15"/>
      <c r="E645" s="15"/>
      <c r="F645" s="15"/>
      <c r="G645" s="16"/>
      <c r="H645" s="16"/>
      <c r="I645" s="16"/>
      <c r="J645" s="16"/>
      <c r="K645" s="16"/>
      <c r="L645" s="16"/>
      <c r="M645" s="15"/>
      <c r="N645" s="16"/>
      <c r="O645" s="16"/>
      <c r="P645" s="16"/>
      <c r="Q645" s="16"/>
      <c r="R645" s="16"/>
      <c r="S645" s="16"/>
      <c r="T645" s="16"/>
      <c r="U645" s="16"/>
      <c r="V645" s="16"/>
    </row>
    <row r="646" spans="1:22" ht="13.2">
      <c r="A646" s="12"/>
      <c r="B646" s="46"/>
      <c r="C646" s="12"/>
      <c r="D646" s="15"/>
      <c r="E646" s="15"/>
      <c r="F646" s="15"/>
      <c r="G646" s="16"/>
      <c r="H646" s="16"/>
      <c r="I646" s="16"/>
      <c r="J646" s="16"/>
      <c r="K646" s="16"/>
      <c r="L646" s="16"/>
      <c r="M646" s="15"/>
      <c r="N646" s="16"/>
      <c r="O646" s="16"/>
      <c r="P646" s="16"/>
      <c r="Q646" s="16"/>
      <c r="R646" s="16"/>
      <c r="S646" s="16"/>
      <c r="T646" s="16"/>
      <c r="U646" s="16"/>
      <c r="V646" s="16"/>
    </row>
    <row r="647" spans="1:22" ht="13.2">
      <c r="A647" s="12"/>
      <c r="B647" s="46"/>
      <c r="C647" s="12"/>
      <c r="D647" s="15"/>
      <c r="E647" s="15"/>
      <c r="F647" s="15"/>
      <c r="G647" s="16"/>
      <c r="H647" s="16"/>
      <c r="I647" s="16"/>
      <c r="J647" s="16"/>
      <c r="K647" s="16"/>
      <c r="L647" s="16"/>
      <c r="M647" s="15"/>
      <c r="N647" s="16"/>
      <c r="O647" s="16"/>
      <c r="P647" s="16"/>
      <c r="Q647" s="16"/>
      <c r="R647" s="16"/>
      <c r="S647" s="16"/>
      <c r="T647" s="16"/>
      <c r="U647" s="16"/>
      <c r="V647" s="16"/>
    </row>
    <row r="648" spans="1:22" ht="13.2">
      <c r="A648" s="12"/>
      <c r="B648" s="46"/>
      <c r="C648" s="12"/>
      <c r="D648" s="15"/>
      <c r="E648" s="15"/>
      <c r="F648" s="15"/>
      <c r="G648" s="16"/>
      <c r="H648" s="16"/>
      <c r="I648" s="16"/>
      <c r="J648" s="16"/>
      <c r="K648" s="16"/>
      <c r="L648" s="16"/>
      <c r="M648" s="15"/>
      <c r="N648" s="16"/>
      <c r="O648" s="16"/>
      <c r="P648" s="16"/>
      <c r="Q648" s="16"/>
      <c r="R648" s="16"/>
      <c r="S648" s="16"/>
      <c r="T648" s="16"/>
      <c r="U648" s="16"/>
      <c r="V648" s="16"/>
    </row>
    <row r="649" spans="1:22" ht="13.2">
      <c r="A649" s="12"/>
      <c r="B649" s="46"/>
      <c r="C649" s="12"/>
      <c r="D649" s="15"/>
      <c r="E649" s="15"/>
      <c r="F649" s="15"/>
      <c r="G649" s="16"/>
      <c r="H649" s="16"/>
      <c r="I649" s="16"/>
      <c r="J649" s="16"/>
      <c r="K649" s="16"/>
      <c r="L649" s="16"/>
      <c r="M649" s="15"/>
      <c r="N649" s="16"/>
      <c r="O649" s="16"/>
      <c r="P649" s="16"/>
      <c r="Q649" s="16"/>
      <c r="R649" s="16"/>
      <c r="S649" s="16"/>
      <c r="T649" s="16"/>
      <c r="U649" s="16"/>
      <c r="V649" s="16"/>
    </row>
    <row r="650" spans="1:22" ht="13.2">
      <c r="A650" s="12"/>
      <c r="B650" s="46"/>
      <c r="C650" s="12"/>
      <c r="D650" s="15"/>
      <c r="E650" s="15"/>
      <c r="F650" s="15"/>
      <c r="G650" s="16"/>
      <c r="H650" s="16"/>
      <c r="I650" s="16"/>
      <c r="J650" s="16"/>
      <c r="K650" s="16"/>
      <c r="L650" s="16"/>
      <c r="M650" s="15"/>
      <c r="N650" s="16"/>
      <c r="O650" s="16"/>
      <c r="P650" s="16"/>
      <c r="Q650" s="16"/>
      <c r="R650" s="16"/>
      <c r="S650" s="16"/>
      <c r="T650" s="16"/>
      <c r="U650" s="16"/>
      <c r="V650" s="16"/>
    </row>
    <row r="651" spans="1:22" ht="13.2">
      <c r="A651" s="12"/>
      <c r="B651" s="46"/>
      <c r="C651" s="12"/>
      <c r="D651" s="15"/>
      <c r="E651" s="15"/>
      <c r="F651" s="15"/>
      <c r="G651" s="16"/>
      <c r="H651" s="16"/>
      <c r="I651" s="16"/>
      <c r="J651" s="16"/>
      <c r="K651" s="16"/>
      <c r="L651" s="16"/>
      <c r="M651" s="15"/>
      <c r="N651" s="16"/>
      <c r="O651" s="16"/>
      <c r="P651" s="16"/>
      <c r="Q651" s="16"/>
      <c r="R651" s="16"/>
      <c r="S651" s="16"/>
      <c r="T651" s="16"/>
      <c r="U651" s="16"/>
      <c r="V651" s="16"/>
    </row>
    <row r="652" spans="1:22" ht="13.2">
      <c r="A652" s="12"/>
      <c r="B652" s="46"/>
      <c r="C652" s="12"/>
      <c r="D652" s="15"/>
      <c r="E652" s="15"/>
      <c r="F652" s="15"/>
      <c r="G652" s="16"/>
      <c r="H652" s="16"/>
      <c r="I652" s="16"/>
      <c r="J652" s="16"/>
      <c r="K652" s="16"/>
      <c r="L652" s="16"/>
      <c r="M652" s="15"/>
      <c r="N652" s="16"/>
      <c r="O652" s="16"/>
      <c r="P652" s="16"/>
      <c r="Q652" s="16"/>
      <c r="R652" s="16"/>
      <c r="S652" s="16"/>
      <c r="T652" s="16"/>
      <c r="U652" s="16"/>
      <c r="V652" s="16"/>
    </row>
    <row r="653" spans="1:22" ht="13.2">
      <c r="A653" s="12"/>
      <c r="B653" s="46"/>
      <c r="C653" s="12"/>
      <c r="D653" s="15"/>
      <c r="E653" s="15"/>
      <c r="F653" s="15"/>
      <c r="G653" s="16"/>
      <c r="H653" s="16"/>
      <c r="I653" s="16"/>
      <c r="J653" s="16"/>
      <c r="K653" s="16"/>
      <c r="L653" s="16"/>
      <c r="M653" s="15"/>
      <c r="N653" s="16"/>
      <c r="O653" s="16"/>
      <c r="P653" s="16"/>
      <c r="Q653" s="16"/>
      <c r="R653" s="16"/>
      <c r="S653" s="16"/>
      <c r="T653" s="16"/>
      <c r="U653" s="16"/>
      <c r="V653" s="16"/>
    </row>
    <row r="654" spans="1:22" ht="13.2">
      <c r="A654" s="12"/>
      <c r="B654" s="46"/>
      <c r="C654" s="12"/>
      <c r="D654" s="15"/>
      <c r="E654" s="15"/>
      <c r="F654" s="15"/>
      <c r="G654" s="16"/>
      <c r="H654" s="16"/>
      <c r="I654" s="16"/>
      <c r="J654" s="16"/>
      <c r="K654" s="16"/>
      <c r="L654" s="16"/>
      <c r="M654" s="15"/>
      <c r="N654" s="16"/>
      <c r="O654" s="16"/>
      <c r="P654" s="16"/>
      <c r="Q654" s="16"/>
      <c r="R654" s="16"/>
      <c r="S654" s="16"/>
      <c r="T654" s="16"/>
      <c r="U654" s="16"/>
      <c r="V654" s="16"/>
    </row>
    <row r="655" spans="1:22" ht="13.2">
      <c r="A655" s="12"/>
      <c r="B655" s="46"/>
      <c r="C655" s="12"/>
      <c r="D655" s="15"/>
      <c r="E655" s="15"/>
      <c r="F655" s="15"/>
      <c r="G655" s="16"/>
      <c r="H655" s="16"/>
      <c r="I655" s="16"/>
      <c r="J655" s="16"/>
      <c r="K655" s="16"/>
      <c r="L655" s="16"/>
      <c r="M655" s="15"/>
      <c r="N655" s="16"/>
      <c r="O655" s="16"/>
      <c r="P655" s="16"/>
      <c r="Q655" s="16"/>
      <c r="R655" s="16"/>
      <c r="S655" s="16"/>
      <c r="T655" s="16"/>
      <c r="U655" s="16"/>
      <c r="V655" s="16"/>
    </row>
    <row r="656" spans="1:22" ht="13.2">
      <c r="A656" s="12"/>
      <c r="B656" s="46"/>
      <c r="C656" s="12"/>
      <c r="D656" s="15"/>
      <c r="E656" s="15"/>
      <c r="F656" s="15"/>
      <c r="G656" s="16"/>
      <c r="H656" s="16"/>
      <c r="I656" s="16"/>
      <c r="J656" s="16"/>
      <c r="K656" s="16"/>
      <c r="L656" s="16"/>
      <c r="M656" s="15"/>
      <c r="N656" s="16"/>
      <c r="O656" s="16"/>
      <c r="P656" s="16"/>
      <c r="Q656" s="16"/>
      <c r="R656" s="16"/>
      <c r="S656" s="16"/>
      <c r="T656" s="16"/>
      <c r="U656" s="16"/>
      <c r="V656" s="16"/>
    </row>
    <row r="657" spans="1:22" ht="13.2">
      <c r="A657" s="12"/>
      <c r="B657" s="46"/>
      <c r="C657" s="12"/>
      <c r="D657" s="15"/>
      <c r="E657" s="15"/>
      <c r="F657" s="15"/>
      <c r="G657" s="16"/>
      <c r="H657" s="16"/>
      <c r="I657" s="16"/>
      <c r="J657" s="16"/>
      <c r="K657" s="16"/>
      <c r="L657" s="16"/>
      <c r="M657" s="15"/>
      <c r="N657" s="16"/>
      <c r="O657" s="16"/>
      <c r="P657" s="16"/>
      <c r="Q657" s="16"/>
      <c r="R657" s="16"/>
      <c r="S657" s="16"/>
      <c r="T657" s="16"/>
      <c r="U657" s="16"/>
      <c r="V657" s="16"/>
    </row>
    <row r="658" spans="1:22" ht="13.2">
      <c r="A658" s="12"/>
      <c r="B658" s="46"/>
      <c r="C658" s="12"/>
      <c r="D658" s="15"/>
      <c r="E658" s="15"/>
      <c r="F658" s="15"/>
      <c r="G658" s="16"/>
      <c r="H658" s="16"/>
      <c r="I658" s="16"/>
      <c r="J658" s="16"/>
      <c r="K658" s="16"/>
      <c r="L658" s="16"/>
      <c r="M658" s="15"/>
      <c r="N658" s="16"/>
      <c r="O658" s="16"/>
      <c r="P658" s="16"/>
      <c r="Q658" s="16"/>
      <c r="R658" s="16"/>
      <c r="S658" s="16"/>
      <c r="T658" s="16"/>
      <c r="U658" s="16"/>
      <c r="V658" s="16"/>
    </row>
    <row r="659" spans="1:22" ht="13.2">
      <c r="A659" s="12"/>
      <c r="B659" s="46"/>
      <c r="C659" s="12"/>
      <c r="D659" s="15"/>
      <c r="E659" s="15"/>
      <c r="F659" s="15"/>
      <c r="G659" s="16"/>
      <c r="H659" s="16"/>
      <c r="I659" s="16"/>
      <c r="J659" s="16"/>
      <c r="K659" s="16"/>
      <c r="L659" s="16"/>
      <c r="M659" s="15"/>
      <c r="N659" s="16"/>
      <c r="O659" s="16"/>
      <c r="P659" s="16"/>
      <c r="Q659" s="16"/>
      <c r="R659" s="16"/>
      <c r="S659" s="16"/>
      <c r="T659" s="16"/>
      <c r="U659" s="16"/>
      <c r="V659" s="16"/>
    </row>
    <row r="660" spans="1:22" ht="13.2">
      <c r="A660" s="12"/>
      <c r="B660" s="46"/>
      <c r="C660" s="12"/>
      <c r="D660" s="15"/>
      <c r="E660" s="15"/>
      <c r="F660" s="15"/>
      <c r="G660" s="16"/>
      <c r="H660" s="16"/>
      <c r="I660" s="16"/>
      <c r="J660" s="16"/>
      <c r="K660" s="16"/>
      <c r="L660" s="16"/>
      <c r="M660" s="15"/>
      <c r="N660" s="16"/>
      <c r="O660" s="16"/>
      <c r="P660" s="16"/>
      <c r="Q660" s="16"/>
      <c r="R660" s="16"/>
      <c r="S660" s="16"/>
      <c r="T660" s="16"/>
      <c r="U660" s="16"/>
      <c r="V660" s="16"/>
    </row>
    <row r="661" spans="1:22" ht="13.2">
      <c r="A661" s="12"/>
      <c r="B661" s="46"/>
      <c r="C661" s="12"/>
      <c r="D661" s="15"/>
      <c r="E661" s="15"/>
      <c r="F661" s="15"/>
      <c r="G661" s="16"/>
      <c r="H661" s="16"/>
      <c r="I661" s="16"/>
      <c r="J661" s="16"/>
      <c r="K661" s="16"/>
      <c r="L661" s="16"/>
      <c r="M661" s="15"/>
      <c r="N661" s="16"/>
      <c r="O661" s="16"/>
      <c r="P661" s="16"/>
      <c r="Q661" s="16"/>
      <c r="R661" s="16"/>
      <c r="S661" s="16"/>
      <c r="T661" s="16"/>
      <c r="U661" s="16"/>
      <c r="V661" s="16"/>
    </row>
    <row r="662" spans="1:22" ht="13.2">
      <c r="A662" s="12"/>
      <c r="B662" s="46"/>
      <c r="C662" s="12"/>
      <c r="D662" s="15"/>
      <c r="E662" s="15"/>
      <c r="F662" s="15"/>
      <c r="G662" s="16"/>
      <c r="H662" s="16"/>
      <c r="I662" s="16"/>
      <c r="J662" s="16"/>
      <c r="K662" s="16"/>
      <c r="L662" s="16"/>
      <c r="M662" s="15"/>
      <c r="N662" s="16"/>
      <c r="O662" s="16"/>
      <c r="P662" s="16"/>
      <c r="Q662" s="16"/>
      <c r="R662" s="16"/>
      <c r="S662" s="16"/>
      <c r="T662" s="16"/>
      <c r="U662" s="16"/>
      <c r="V662" s="16"/>
    </row>
    <row r="663" spans="1:22" ht="13.2">
      <c r="A663" s="12"/>
      <c r="B663" s="46"/>
      <c r="C663" s="12"/>
      <c r="D663" s="15"/>
      <c r="E663" s="15"/>
      <c r="F663" s="15"/>
      <c r="G663" s="16"/>
      <c r="H663" s="16"/>
      <c r="I663" s="16"/>
      <c r="J663" s="16"/>
      <c r="K663" s="16"/>
      <c r="L663" s="16"/>
      <c r="M663" s="15"/>
      <c r="N663" s="16"/>
      <c r="O663" s="16"/>
      <c r="P663" s="16"/>
      <c r="Q663" s="16"/>
      <c r="R663" s="16"/>
      <c r="S663" s="16"/>
      <c r="T663" s="16"/>
      <c r="U663" s="16"/>
      <c r="V663" s="16"/>
    </row>
    <row r="664" spans="1:22" ht="13.2">
      <c r="A664" s="12"/>
      <c r="B664" s="46"/>
      <c r="C664" s="12"/>
      <c r="D664" s="15"/>
      <c r="E664" s="15"/>
      <c r="F664" s="15"/>
      <c r="G664" s="16"/>
      <c r="H664" s="16"/>
      <c r="I664" s="16"/>
      <c r="J664" s="16"/>
      <c r="K664" s="16"/>
      <c r="L664" s="16"/>
      <c r="M664" s="15"/>
      <c r="N664" s="16"/>
      <c r="O664" s="16"/>
      <c r="P664" s="16"/>
      <c r="Q664" s="16"/>
      <c r="R664" s="16"/>
      <c r="S664" s="16"/>
      <c r="T664" s="16"/>
      <c r="U664" s="16"/>
      <c r="V664" s="16"/>
    </row>
    <row r="665" spans="1:22" ht="13.2">
      <c r="A665" s="12"/>
      <c r="B665" s="46"/>
      <c r="C665" s="12"/>
      <c r="D665" s="15"/>
      <c r="E665" s="15"/>
      <c r="F665" s="15"/>
      <c r="G665" s="16"/>
      <c r="H665" s="16"/>
      <c r="I665" s="16"/>
      <c r="J665" s="16"/>
      <c r="K665" s="16"/>
      <c r="L665" s="16"/>
      <c r="M665" s="15"/>
      <c r="N665" s="16"/>
      <c r="O665" s="16"/>
      <c r="P665" s="16"/>
      <c r="Q665" s="16"/>
      <c r="R665" s="16"/>
      <c r="S665" s="16"/>
      <c r="T665" s="16"/>
      <c r="U665" s="16"/>
      <c r="V665" s="16"/>
    </row>
    <row r="666" spans="1:22" ht="13.2">
      <c r="A666" s="12"/>
      <c r="B666" s="46"/>
      <c r="C666" s="12"/>
      <c r="D666" s="15"/>
      <c r="E666" s="15"/>
      <c r="F666" s="15"/>
      <c r="G666" s="16"/>
      <c r="H666" s="16"/>
      <c r="I666" s="16"/>
      <c r="J666" s="16"/>
      <c r="K666" s="16"/>
      <c r="L666" s="16"/>
      <c r="M666" s="15"/>
      <c r="N666" s="16"/>
      <c r="O666" s="16"/>
      <c r="P666" s="16"/>
      <c r="Q666" s="16"/>
      <c r="R666" s="16"/>
      <c r="S666" s="16"/>
      <c r="T666" s="16"/>
      <c r="U666" s="16"/>
      <c r="V666" s="16"/>
    </row>
    <row r="667" spans="1:22" ht="13.2">
      <c r="A667" s="12"/>
      <c r="B667" s="46"/>
      <c r="C667" s="12"/>
      <c r="D667" s="15"/>
      <c r="E667" s="15"/>
      <c r="F667" s="15"/>
      <c r="G667" s="16"/>
      <c r="H667" s="16"/>
      <c r="I667" s="16"/>
      <c r="J667" s="16"/>
      <c r="K667" s="16"/>
      <c r="L667" s="16"/>
      <c r="M667" s="15"/>
      <c r="N667" s="16"/>
      <c r="O667" s="16"/>
      <c r="P667" s="16"/>
      <c r="Q667" s="16"/>
      <c r="R667" s="16"/>
      <c r="S667" s="16"/>
      <c r="T667" s="16"/>
      <c r="U667" s="16"/>
      <c r="V667" s="16"/>
    </row>
    <row r="668" spans="1:22" ht="13.2">
      <c r="A668" s="12"/>
      <c r="B668" s="46"/>
      <c r="C668" s="12"/>
      <c r="D668" s="15"/>
      <c r="E668" s="15"/>
      <c r="F668" s="15"/>
      <c r="G668" s="16"/>
      <c r="H668" s="16"/>
      <c r="I668" s="16"/>
      <c r="J668" s="16"/>
      <c r="K668" s="16"/>
      <c r="L668" s="16"/>
      <c r="M668" s="15"/>
      <c r="N668" s="16"/>
      <c r="O668" s="16"/>
      <c r="P668" s="16"/>
      <c r="Q668" s="16"/>
      <c r="R668" s="16"/>
      <c r="S668" s="16"/>
      <c r="T668" s="16"/>
      <c r="U668" s="16"/>
      <c r="V668" s="16"/>
    </row>
    <row r="669" spans="1:22" ht="13.2">
      <c r="A669" s="12"/>
      <c r="B669" s="46"/>
      <c r="C669" s="12"/>
      <c r="D669" s="15"/>
      <c r="E669" s="15"/>
      <c r="F669" s="15"/>
      <c r="G669" s="16"/>
      <c r="H669" s="16"/>
      <c r="I669" s="16"/>
      <c r="J669" s="16"/>
      <c r="K669" s="16"/>
      <c r="L669" s="16"/>
      <c r="M669" s="15"/>
      <c r="N669" s="16"/>
      <c r="O669" s="16"/>
      <c r="P669" s="16"/>
      <c r="Q669" s="16"/>
      <c r="R669" s="16"/>
      <c r="S669" s="16"/>
      <c r="T669" s="16"/>
      <c r="U669" s="16"/>
      <c r="V669" s="16"/>
    </row>
    <row r="670" spans="1:22" ht="13.2">
      <c r="A670" s="12"/>
      <c r="B670" s="46"/>
      <c r="C670" s="12"/>
      <c r="D670" s="15"/>
      <c r="E670" s="15"/>
      <c r="F670" s="15"/>
      <c r="G670" s="16"/>
      <c r="H670" s="16"/>
      <c r="I670" s="16"/>
      <c r="J670" s="16"/>
      <c r="K670" s="16"/>
      <c r="L670" s="16"/>
      <c r="M670" s="15"/>
      <c r="N670" s="16"/>
      <c r="O670" s="16"/>
      <c r="P670" s="16"/>
      <c r="Q670" s="16"/>
      <c r="R670" s="16"/>
      <c r="S670" s="16"/>
      <c r="T670" s="16"/>
      <c r="U670" s="16"/>
      <c r="V670" s="16"/>
    </row>
    <row r="671" spans="1:22" ht="13.2">
      <c r="A671" s="12"/>
      <c r="B671" s="46"/>
      <c r="C671" s="12"/>
      <c r="D671" s="15"/>
      <c r="E671" s="15"/>
      <c r="F671" s="15"/>
      <c r="G671" s="16"/>
      <c r="H671" s="16"/>
      <c r="I671" s="16"/>
      <c r="J671" s="16"/>
      <c r="K671" s="16"/>
      <c r="L671" s="16"/>
      <c r="M671" s="15"/>
      <c r="N671" s="16"/>
      <c r="O671" s="16"/>
      <c r="P671" s="16"/>
      <c r="Q671" s="16"/>
      <c r="R671" s="16"/>
      <c r="S671" s="16"/>
      <c r="T671" s="16"/>
      <c r="U671" s="16"/>
      <c r="V671" s="16"/>
    </row>
    <row r="672" spans="1:22" ht="13.2">
      <c r="A672" s="12"/>
      <c r="B672" s="46"/>
      <c r="C672" s="12"/>
      <c r="D672" s="15"/>
      <c r="E672" s="15"/>
      <c r="F672" s="15"/>
      <c r="G672" s="16"/>
      <c r="H672" s="16"/>
      <c r="I672" s="16"/>
      <c r="J672" s="16"/>
      <c r="K672" s="16"/>
      <c r="L672" s="16"/>
      <c r="M672" s="15"/>
      <c r="N672" s="16"/>
      <c r="O672" s="16"/>
      <c r="P672" s="16"/>
      <c r="Q672" s="16"/>
      <c r="R672" s="16"/>
      <c r="S672" s="16"/>
      <c r="T672" s="16"/>
      <c r="U672" s="16"/>
      <c r="V672" s="16"/>
    </row>
    <row r="673" spans="1:22" ht="13.2">
      <c r="A673" s="12"/>
      <c r="B673" s="46"/>
      <c r="C673" s="12"/>
      <c r="D673" s="15"/>
      <c r="E673" s="15"/>
      <c r="F673" s="15"/>
      <c r="G673" s="16"/>
      <c r="H673" s="16"/>
      <c r="I673" s="16"/>
      <c r="J673" s="16"/>
      <c r="K673" s="16"/>
      <c r="L673" s="16"/>
      <c r="M673" s="15"/>
      <c r="N673" s="16"/>
      <c r="O673" s="16"/>
      <c r="P673" s="16"/>
      <c r="Q673" s="16"/>
      <c r="R673" s="16"/>
      <c r="S673" s="16"/>
      <c r="T673" s="16"/>
      <c r="U673" s="16"/>
      <c r="V673" s="16"/>
    </row>
    <row r="674" spans="1:22" ht="13.2">
      <c r="A674" s="12"/>
      <c r="B674" s="46"/>
      <c r="C674" s="12"/>
      <c r="D674" s="15"/>
      <c r="E674" s="15"/>
      <c r="F674" s="15"/>
      <c r="G674" s="16"/>
      <c r="H674" s="16"/>
      <c r="I674" s="16"/>
      <c r="J674" s="16"/>
      <c r="K674" s="16"/>
      <c r="L674" s="16"/>
      <c r="M674" s="15"/>
      <c r="N674" s="16"/>
      <c r="O674" s="16"/>
      <c r="P674" s="16"/>
      <c r="Q674" s="16"/>
      <c r="R674" s="16"/>
      <c r="S674" s="16"/>
      <c r="T674" s="16"/>
      <c r="U674" s="16"/>
      <c r="V674" s="16"/>
    </row>
    <row r="675" spans="1:22" ht="13.2">
      <c r="A675" s="12"/>
      <c r="B675" s="46"/>
      <c r="C675" s="12"/>
      <c r="D675" s="15"/>
      <c r="E675" s="15"/>
      <c r="F675" s="15"/>
      <c r="G675" s="16"/>
      <c r="H675" s="16"/>
      <c r="I675" s="16"/>
      <c r="J675" s="16"/>
      <c r="K675" s="16"/>
      <c r="L675" s="16"/>
      <c r="M675" s="15"/>
      <c r="N675" s="16"/>
      <c r="O675" s="16"/>
      <c r="P675" s="16"/>
      <c r="Q675" s="16"/>
      <c r="R675" s="16"/>
      <c r="S675" s="16"/>
      <c r="T675" s="16"/>
      <c r="U675" s="16"/>
      <c r="V675" s="16"/>
    </row>
    <row r="676" spans="1:22" ht="13.2">
      <c r="A676" s="12"/>
      <c r="B676" s="46"/>
      <c r="C676" s="12"/>
      <c r="D676" s="15"/>
      <c r="E676" s="15"/>
      <c r="F676" s="15"/>
      <c r="G676" s="16"/>
      <c r="H676" s="16"/>
      <c r="I676" s="16"/>
      <c r="J676" s="16"/>
      <c r="K676" s="16"/>
      <c r="L676" s="16"/>
      <c r="M676" s="15"/>
      <c r="N676" s="16"/>
      <c r="O676" s="16"/>
      <c r="P676" s="16"/>
      <c r="Q676" s="16"/>
      <c r="R676" s="16"/>
      <c r="S676" s="16"/>
      <c r="T676" s="16"/>
      <c r="U676" s="16"/>
      <c r="V676" s="16"/>
    </row>
    <row r="677" spans="1:22" ht="13.2">
      <c r="A677" s="12"/>
      <c r="B677" s="46"/>
      <c r="C677" s="12"/>
      <c r="D677" s="15"/>
      <c r="E677" s="15"/>
      <c r="F677" s="15"/>
      <c r="G677" s="16"/>
      <c r="H677" s="16"/>
      <c r="I677" s="16"/>
      <c r="J677" s="16"/>
      <c r="K677" s="16"/>
      <c r="L677" s="16"/>
      <c r="M677" s="15"/>
      <c r="N677" s="16"/>
      <c r="O677" s="16"/>
      <c r="P677" s="16"/>
      <c r="Q677" s="16"/>
      <c r="R677" s="16"/>
      <c r="S677" s="16"/>
      <c r="T677" s="16"/>
      <c r="U677" s="16"/>
      <c r="V677" s="16"/>
    </row>
    <row r="678" spans="1:22" ht="13.2">
      <c r="A678" s="12"/>
      <c r="B678" s="46"/>
      <c r="C678" s="12"/>
      <c r="D678" s="15"/>
      <c r="E678" s="15"/>
      <c r="F678" s="15"/>
      <c r="G678" s="16"/>
      <c r="H678" s="16"/>
      <c r="I678" s="16"/>
      <c r="J678" s="16"/>
      <c r="K678" s="16"/>
      <c r="L678" s="16"/>
      <c r="M678" s="15"/>
      <c r="N678" s="16"/>
      <c r="O678" s="16"/>
      <c r="P678" s="16"/>
      <c r="Q678" s="16"/>
      <c r="R678" s="16"/>
      <c r="S678" s="16"/>
      <c r="T678" s="16"/>
      <c r="U678" s="16"/>
      <c r="V678" s="16"/>
    </row>
    <row r="679" spans="1:22" ht="13.2">
      <c r="A679" s="12"/>
      <c r="B679" s="46"/>
      <c r="C679" s="12"/>
      <c r="D679" s="15"/>
      <c r="E679" s="15"/>
      <c r="F679" s="15"/>
      <c r="G679" s="16"/>
      <c r="H679" s="16"/>
      <c r="I679" s="16"/>
      <c r="J679" s="16"/>
      <c r="K679" s="16"/>
      <c r="L679" s="16"/>
      <c r="M679" s="15"/>
      <c r="N679" s="16"/>
      <c r="O679" s="16"/>
      <c r="P679" s="16"/>
      <c r="Q679" s="16"/>
      <c r="R679" s="16"/>
      <c r="S679" s="16"/>
      <c r="T679" s="16"/>
      <c r="U679" s="16"/>
      <c r="V679" s="16"/>
    </row>
    <row r="680" spans="1:22" ht="13.2">
      <c r="A680" s="12"/>
      <c r="B680" s="46"/>
      <c r="C680" s="12"/>
      <c r="D680" s="15"/>
      <c r="E680" s="15"/>
      <c r="F680" s="15"/>
      <c r="G680" s="16"/>
      <c r="H680" s="16"/>
      <c r="I680" s="16"/>
      <c r="J680" s="16"/>
      <c r="K680" s="16"/>
      <c r="L680" s="16"/>
      <c r="M680" s="15"/>
      <c r="N680" s="16"/>
      <c r="O680" s="16"/>
      <c r="P680" s="16"/>
      <c r="Q680" s="16"/>
      <c r="R680" s="16"/>
      <c r="S680" s="16"/>
      <c r="T680" s="16"/>
      <c r="U680" s="16"/>
      <c r="V680" s="16"/>
    </row>
    <row r="681" spans="1:22" ht="13.2">
      <c r="A681" s="12"/>
      <c r="B681" s="46"/>
      <c r="C681" s="12"/>
      <c r="D681" s="15"/>
      <c r="E681" s="15"/>
      <c r="F681" s="15"/>
      <c r="G681" s="16"/>
      <c r="H681" s="16"/>
      <c r="I681" s="16"/>
      <c r="J681" s="16"/>
      <c r="K681" s="16"/>
      <c r="L681" s="16"/>
      <c r="M681" s="15"/>
      <c r="N681" s="16"/>
      <c r="O681" s="16"/>
      <c r="P681" s="16"/>
      <c r="Q681" s="16"/>
      <c r="R681" s="16"/>
      <c r="S681" s="16"/>
      <c r="T681" s="16"/>
      <c r="U681" s="16"/>
      <c r="V681" s="16"/>
    </row>
    <row r="682" spans="1:22" ht="13.2">
      <c r="A682" s="12"/>
      <c r="B682" s="46"/>
      <c r="C682" s="12"/>
      <c r="D682" s="15"/>
      <c r="E682" s="15"/>
      <c r="F682" s="15"/>
      <c r="G682" s="16"/>
      <c r="H682" s="16"/>
      <c r="I682" s="16"/>
      <c r="J682" s="16"/>
      <c r="K682" s="16"/>
      <c r="L682" s="16"/>
      <c r="M682" s="15"/>
      <c r="N682" s="16"/>
      <c r="O682" s="16"/>
      <c r="P682" s="16"/>
      <c r="Q682" s="16"/>
      <c r="R682" s="16"/>
      <c r="S682" s="16"/>
      <c r="T682" s="16"/>
      <c r="U682" s="16"/>
      <c r="V682" s="16"/>
    </row>
    <row r="683" spans="1:22" ht="13.2">
      <c r="A683" s="12"/>
      <c r="B683" s="46"/>
      <c r="C683" s="12"/>
      <c r="D683" s="15"/>
      <c r="E683" s="15"/>
      <c r="F683" s="15"/>
      <c r="G683" s="16"/>
      <c r="H683" s="16"/>
      <c r="I683" s="16"/>
      <c r="J683" s="16"/>
      <c r="K683" s="16"/>
      <c r="L683" s="16"/>
      <c r="M683" s="15"/>
      <c r="N683" s="16"/>
      <c r="O683" s="16"/>
      <c r="P683" s="16"/>
      <c r="Q683" s="16"/>
      <c r="R683" s="16"/>
      <c r="S683" s="16"/>
      <c r="T683" s="16"/>
      <c r="U683" s="16"/>
      <c r="V683" s="16"/>
    </row>
    <row r="684" spans="1:22" ht="13.2">
      <c r="A684" s="12"/>
      <c r="B684" s="46"/>
      <c r="C684" s="12"/>
      <c r="D684" s="15"/>
      <c r="E684" s="15"/>
      <c r="F684" s="15"/>
      <c r="G684" s="16"/>
      <c r="H684" s="16"/>
      <c r="I684" s="16"/>
      <c r="J684" s="16"/>
      <c r="K684" s="16"/>
      <c r="L684" s="16"/>
      <c r="M684" s="15"/>
      <c r="N684" s="16"/>
      <c r="O684" s="16"/>
      <c r="P684" s="16"/>
      <c r="Q684" s="16"/>
      <c r="R684" s="16"/>
      <c r="S684" s="16"/>
      <c r="T684" s="16"/>
      <c r="U684" s="16"/>
      <c r="V684" s="16"/>
    </row>
    <row r="685" spans="1:22" ht="13.2">
      <c r="A685" s="12"/>
      <c r="B685" s="46"/>
      <c r="C685" s="12"/>
      <c r="D685" s="15"/>
      <c r="E685" s="15"/>
      <c r="F685" s="15"/>
      <c r="G685" s="16"/>
      <c r="H685" s="16"/>
      <c r="I685" s="16"/>
      <c r="J685" s="16"/>
      <c r="K685" s="16"/>
      <c r="L685" s="16"/>
      <c r="M685" s="15"/>
      <c r="N685" s="16"/>
      <c r="O685" s="16"/>
      <c r="P685" s="16"/>
      <c r="Q685" s="16"/>
      <c r="R685" s="16"/>
      <c r="S685" s="16"/>
      <c r="T685" s="16"/>
      <c r="U685" s="16"/>
      <c r="V685" s="16"/>
    </row>
    <row r="686" spans="1:22" ht="13.2">
      <c r="A686" s="12"/>
      <c r="B686" s="46"/>
      <c r="C686" s="12"/>
      <c r="D686" s="15"/>
      <c r="E686" s="15"/>
      <c r="F686" s="15"/>
      <c r="G686" s="16"/>
      <c r="H686" s="16"/>
      <c r="I686" s="16"/>
      <c r="J686" s="16"/>
      <c r="K686" s="16"/>
      <c r="L686" s="16"/>
      <c r="M686" s="15"/>
      <c r="N686" s="16"/>
      <c r="O686" s="16"/>
      <c r="P686" s="16"/>
      <c r="Q686" s="16"/>
      <c r="R686" s="16"/>
      <c r="S686" s="16"/>
      <c r="T686" s="16"/>
      <c r="U686" s="16"/>
      <c r="V686" s="16"/>
    </row>
    <row r="687" spans="1:22" ht="13.2">
      <c r="A687" s="12"/>
      <c r="B687" s="46"/>
      <c r="C687" s="12"/>
      <c r="D687" s="15"/>
      <c r="E687" s="15"/>
      <c r="F687" s="15"/>
      <c r="G687" s="16"/>
      <c r="H687" s="16"/>
      <c r="I687" s="16"/>
      <c r="J687" s="16"/>
      <c r="K687" s="16"/>
      <c r="L687" s="16"/>
      <c r="M687" s="15"/>
      <c r="N687" s="16"/>
      <c r="O687" s="16"/>
      <c r="P687" s="16"/>
      <c r="Q687" s="16"/>
      <c r="R687" s="16"/>
      <c r="S687" s="16"/>
      <c r="T687" s="16"/>
      <c r="U687" s="16"/>
      <c r="V687" s="16"/>
    </row>
    <row r="688" spans="1:22" ht="13.2">
      <c r="A688" s="12"/>
      <c r="B688" s="46"/>
      <c r="C688" s="12"/>
      <c r="D688" s="15"/>
      <c r="E688" s="15"/>
      <c r="F688" s="15"/>
      <c r="G688" s="16"/>
      <c r="H688" s="16"/>
      <c r="I688" s="16"/>
      <c r="J688" s="16"/>
      <c r="K688" s="16"/>
      <c r="L688" s="16"/>
      <c r="M688" s="15"/>
      <c r="N688" s="16"/>
      <c r="O688" s="16"/>
      <c r="P688" s="16"/>
      <c r="Q688" s="16"/>
      <c r="R688" s="16"/>
      <c r="S688" s="16"/>
      <c r="T688" s="16"/>
      <c r="U688" s="16"/>
      <c r="V688" s="16"/>
    </row>
    <row r="689" spans="1:22" ht="13.2">
      <c r="A689" s="12"/>
      <c r="B689" s="46"/>
      <c r="C689" s="12"/>
      <c r="D689" s="15"/>
      <c r="E689" s="15"/>
      <c r="F689" s="15"/>
      <c r="G689" s="16"/>
      <c r="H689" s="16"/>
      <c r="I689" s="16"/>
      <c r="J689" s="16"/>
      <c r="K689" s="16"/>
      <c r="L689" s="16"/>
      <c r="M689" s="15"/>
      <c r="N689" s="16"/>
      <c r="O689" s="16"/>
      <c r="P689" s="16"/>
      <c r="Q689" s="16"/>
      <c r="R689" s="16"/>
      <c r="S689" s="16"/>
      <c r="T689" s="16"/>
      <c r="U689" s="16"/>
      <c r="V689" s="16"/>
    </row>
    <row r="690" spans="1:22" ht="13.2">
      <c r="A690" s="12"/>
      <c r="B690" s="46"/>
      <c r="C690" s="12"/>
      <c r="D690" s="15"/>
      <c r="E690" s="15"/>
      <c r="F690" s="15"/>
      <c r="G690" s="16"/>
      <c r="H690" s="16"/>
      <c r="I690" s="16"/>
      <c r="J690" s="16"/>
      <c r="K690" s="16"/>
      <c r="L690" s="16"/>
      <c r="M690" s="15"/>
      <c r="N690" s="16"/>
      <c r="O690" s="16"/>
      <c r="P690" s="16"/>
      <c r="Q690" s="16"/>
      <c r="R690" s="16"/>
      <c r="S690" s="16"/>
      <c r="T690" s="16"/>
      <c r="U690" s="16"/>
      <c r="V690" s="16"/>
    </row>
    <row r="691" spans="1:22" ht="13.2">
      <c r="A691" s="12"/>
      <c r="B691" s="46"/>
      <c r="C691" s="12"/>
      <c r="D691" s="15"/>
      <c r="E691" s="15"/>
      <c r="F691" s="15"/>
      <c r="G691" s="16"/>
      <c r="H691" s="16"/>
      <c r="I691" s="16"/>
      <c r="J691" s="16"/>
      <c r="K691" s="16"/>
      <c r="L691" s="16"/>
      <c r="M691" s="15"/>
      <c r="N691" s="16"/>
      <c r="O691" s="16"/>
      <c r="P691" s="16"/>
      <c r="Q691" s="16"/>
      <c r="R691" s="16"/>
      <c r="S691" s="16"/>
      <c r="T691" s="16"/>
      <c r="U691" s="16"/>
      <c r="V691" s="16"/>
    </row>
    <row r="692" spans="1:22" ht="13.2">
      <c r="A692" s="12"/>
      <c r="B692" s="46"/>
      <c r="C692" s="12"/>
      <c r="D692" s="15"/>
      <c r="E692" s="15"/>
      <c r="F692" s="15"/>
      <c r="G692" s="16"/>
      <c r="H692" s="16"/>
      <c r="I692" s="16"/>
      <c r="J692" s="16"/>
      <c r="K692" s="16"/>
      <c r="L692" s="16"/>
      <c r="M692" s="15"/>
      <c r="N692" s="16"/>
      <c r="O692" s="16"/>
      <c r="P692" s="16"/>
      <c r="Q692" s="16"/>
      <c r="R692" s="16"/>
      <c r="S692" s="16"/>
      <c r="T692" s="16"/>
      <c r="U692" s="16"/>
      <c r="V692" s="16"/>
    </row>
    <row r="693" spans="1:22" ht="13.2">
      <c r="A693" s="12"/>
      <c r="B693" s="46"/>
      <c r="C693" s="12"/>
      <c r="D693" s="15"/>
      <c r="E693" s="15"/>
      <c r="F693" s="15"/>
      <c r="G693" s="16"/>
      <c r="H693" s="16"/>
      <c r="I693" s="16"/>
      <c r="J693" s="16"/>
      <c r="K693" s="16"/>
      <c r="L693" s="16"/>
      <c r="M693" s="15"/>
      <c r="N693" s="16"/>
      <c r="O693" s="16"/>
      <c r="P693" s="16"/>
      <c r="Q693" s="16"/>
      <c r="R693" s="16"/>
      <c r="S693" s="16"/>
      <c r="T693" s="16"/>
      <c r="U693" s="16"/>
      <c r="V693" s="16"/>
    </row>
    <row r="694" spans="1:22" ht="13.2">
      <c r="A694" s="12"/>
      <c r="B694" s="46"/>
      <c r="C694" s="12"/>
      <c r="D694" s="15"/>
      <c r="E694" s="15"/>
      <c r="F694" s="15"/>
      <c r="G694" s="16"/>
      <c r="H694" s="16"/>
      <c r="I694" s="16"/>
      <c r="J694" s="16"/>
      <c r="K694" s="16"/>
      <c r="L694" s="16"/>
      <c r="M694" s="15"/>
      <c r="N694" s="16"/>
      <c r="O694" s="16"/>
      <c r="P694" s="16"/>
      <c r="Q694" s="16"/>
      <c r="R694" s="16"/>
      <c r="S694" s="16"/>
      <c r="T694" s="16"/>
      <c r="U694" s="16"/>
      <c r="V694" s="16"/>
    </row>
    <row r="695" spans="1:22" ht="13.2">
      <c r="A695" s="12"/>
      <c r="B695" s="46"/>
      <c r="C695" s="12"/>
      <c r="D695" s="15"/>
      <c r="E695" s="15"/>
      <c r="F695" s="15"/>
      <c r="G695" s="16"/>
      <c r="H695" s="16"/>
      <c r="I695" s="16"/>
      <c r="J695" s="16"/>
      <c r="K695" s="16"/>
      <c r="L695" s="16"/>
      <c r="M695" s="15"/>
      <c r="N695" s="16"/>
      <c r="O695" s="16"/>
      <c r="P695" s="16"/>
      <c r="Q695" s="16"/>
      <c r="R695" s="16"/>
      <c r="S695" s="16"/>
      <c r="T695" s="16"/>
      <c r="U695" s="16"/>
      <c r="V695" s="16"/>
    </row>
    <row r="696" spans="1:22" ht="13.2">
      <c r="A696" s="12"/>
      <c r="B696" s="46"/>
      <c r="C696" s="12"/>
      <c r="D696" s="15"/>
      <c r="E696" s="15"/>
      <c r="F696" s="15"/>
      <c r="G696" s="16"/>
      <c r="H696" s="16"/>
      <c r="I696" s="16"/>
      <c r="J696" s="16"/>
      <c r="K696" s="16"/>
      <c r="L696" s="16"/>
      <c r="M696" s="15"/>
      <c r="N696" s="16"/>
      <c r="O696" s="16"/>
      <c r="P696" s="16"/>
      <c r="Q696" s="16"/>
      <c r="R696" s="16"/>
      <c r="S696" s="16"/>
      <c r="T696" s="16"/>
      <c r="U696" s="16"/>
      <c r="V696" s="16"/>
    </row>
    <row r="697" spans="1:22" ht="13.2">
      <c r="A697" s="12"/>
      <c r="B697" s="46"/>
      <c r="C697" s="12"/>
      <c r="D697" s="15"/>
      <c r="E697" s="15"/>
      <c r="F697" s="15"/>
      <c r="G697" s="16"/>
      <c r="H697" s="16"/>
      <c r="I697" s="16"/>
      <c r="J697" s="16"/>
      <c r="K697" s="16"/>
      <c r="L697" s="16"/>
      <c r="M697" s="15"/>
      <c r="N697" s="16"/>
      <c r="O697" s="16"/>
      <c r="P697" s="16"/>
      <c r="Q697" s="16"/>
      <c r="R697" s="16"/>
      <c r="S697" s="16"/>
      <c r="T697" s="16"/>
      <c r="U697" s="16"/>
      <c r="V697" s="16"/>
    </row>
    <row r="698" spans="1:22" ht="13.2">
      <c r="A698" s="12"/>
      <c r="B698" s="46"/>
      <c r="C698" s="12"/>
      <c r="D698" s="15"/>
      <c r="E698" s="15"/>
      <c r="F698" s="15"/>
      <c r="G698" s="16"/>
      <c r="H698" s="16"/>
      <c r="I698" s="16"/>
      <c r="J698" s="16"/>
      <c r="K698" s="16"/>
      <c r="L698" s="16"/>
      <c r="M698" s="15"/>
      <c r="N698" s="16"/>
      <c r="O698" s="16"/>
      <c r="P698" s="16"/>
      <c r="Q698" s="16"/>
      <c r="R698" s="16"/>
      <c r="S698" s="16"/>
      <c r="T698" s="16"/>
      <c r="U698" s="16"/>
      <c r="V698" s="16"/>
    </row>
    <row r="699" spans="1:22" ht="13.2">
      <c r="A699" s="12"/>
      <c r="B699" s="46"/>
      <c r="C699" s="12"/>
      <c r="D699" s="15"/>
      <c r="E699" s="15"/>
      <c r="F699" s="15"/>
      <c r="G699" s="16"/>
      <c r="H699" s="16"/>
      <c r="I699" s="16"/>
      <c r="J699" s="16"/>
      <c r="K699" s="16"/>
      <c r="L699" s="16"/>
      <c r="M699" s="15"/>
      <c r="N699" s="16"/>
      <c r="O699" s="16"/>
      <c r="P699" s="16"/>
      <c r="Q699" s="16"/>
      <c r="R699" s="16"/>
      <c r="S699" s="16"/>
      <c r="T699" s="16"/>
      <c r="U699" s="16"/>
      <c r="V699" s="16"/>
    </row>
    <row r="700" spans="1:22" ht="13.2">
      <c r="A700" s="12"/>
      <c r="B700" s="46"/>
      <c r="C700" s="12"/>
      <c r="D700" s="15"/>
      <c r="E700" s="15"/>
      <c r="F700" s="15"/>
      <c r="G700" s="16"/>
      <c r="H700" s="16"/>
      <c r="I700" s="16"/>
      <c r="J700" s="16"/>
      <c r="K700" s="16"/>
      <c r="L700" s="16"/>
      <c r="M700" s="15"/>
      <c r="N700" s="16"/>
      <c r="O700" s="16"/>
      <c r="P700" s="16"/>
      <c r="Q700" s="16"/>
      <c r="R700" s="16"/>
      <c r="S700" s="16"/>
      <c r="T700" s="16"/>
      <c r="U700" s="16"/>
      <c r="V700" s="16"/>
    </row>
    <row r="701" spans="1:22" ht="13.2">
      <c r="A701" s="12"/>
      <c r="B701" s="46"/>
      <c r="C701" s="12"/>
      <c r="D701" s="15"/>
      <c r="E701" s="15"/>
      <c r="F701" s="15"/>
      <c r="G701" s="16"/>
      <c r="H701" s="16"/>
      <c r="I701" s="16"/>
      <c r="J701" s="16"/>
      <c r="K701" s="16"/>
      <c r="L701" s="16"/>
      <c r="M701" s="15"/>
      <c r="N701" s="16"/>
      <c r="O701" s="16"/>
      <c r="P701" s="16"/>
      <c r="Q701" s="16"/>
      <c r="R701" s="16"/>
      <c r="S701" s="16"/>
      <c r="T701" s="16"/>
      <c r="U701" s="16"/>
      <c r="V701" s="16"/>
    </row>
    <row r="702" spans="1:22" ht="13.2">
      <c r="A702" s="12"/>
      <c r="B702" s="46"/>
      <c r="C702" s="12"/>
      <c r="D702" s="15"/>
      <c r="E702" s="15"/>
      <c r="F702" s="15"/>
      <c r="G702" s="16"/>
      <c r="H702" s="16"/>
      <c r="I702" s="16"/>
      <c r="J702" s="16"/>
      <c r="K702" s="16"/>
      <c r="L702" s="16"/>
      <c r="M702" s="15"/>
      <c r="N702" s="16"/>
      <c r="O702" s="16"/>
      <c r="P702" s="16"/>
      <c r="Q702" s="16"/>
      <c r="R702" s="16"/>
      <c r="S702" s="16"/>
      <c r="T702" s="16"/>
      <c r="U702" s="16"/>
      <c r="V702" s="16"/>
    </row>
    <row r="703" spans="1:22" ht="13.2">
      <c r="A703" s="12"/>
      <c r="B703" s="46"/>
      <c r="C703" s="12"/>
      <c r="D703" s="15"/>
      <c r="E703" s="15"/>
      <c r="F703" s="15"/>
      <c r="G703" s="16"/>
      <c r="H703" s="16"/>
      <c r="I703" s="16"/>
      <c r="J703" s="16"/>
      <c r="K703" s="16"/>
      <c r="L703" s="16"/>
      <c r="M703" s="15"/>
      <c r="N703" s="16"/>
      <c r="O703" s="16"/>
      <c r="P703" s="16"/>
      <c r="Q703" s="16"/>
      <c r="R703" s="16"/>
      <c r="S703" s="16"/>
      <c r="T703" s="16"/>
      <c r="U703" s="16"/>
      <c r="V703" s="16"/>
    </row>
    <row r="704" spans="1:22" ht="13.2">
      <c r="A704" s="12"/>
      <c r="B704" s="46"/>
      <c r="C704" s="12"/>
      <c r="D704" s="15"/>
      <c r="E704" s="15"/>
      <c r="F704" s="15"/>
      <c r="G704" s="16"/>
      <c r="H704" s="16"/>
      <c r="I704" s="16"/>
      <c r="J704" s="16"/>
      <c r="K704" s="16"/>
      <c r="L704" s="16"/>
      <c r="M704" s="15"/>
      <c r="N704" s="16"/>
      <c r="O704" s="16"/>
      <c r="P704" s="16"/>
      <c r="Q704" s="16"/>
      <c r="R704" s="16"/>
      <c r="S704" s="16"/>
      <c r="T704" s="16"/>
      <c r="U704" s="16"/>
      <c r="V704" s="16"/>
    </row>
    <row r="705" spans="1:22" ht="13.2">
      <c r="A705" s="12"/>
      <c r="B705" s="46"/>
      <c r="C705" s="12"/>
      <c r="D705" s="15"/>
      <c r="E705" s="15"/>
      <c r="F705" s="15"/>
      <c r="G705" s="16"/>
      <c r="H705" s="16"/>
      <c r="I705" s="16"/>
      <c r="J705" s="16"/>
      <c r="K705" s="16"/>
      <c r="L705" s="16"/>
      <c r="M705" s="15"/>
      <c r="N705" s="16"/>
      <c r="O705" s="16"/>
      <c r="P705" s="16"/>
      <c r="Q705" s="16"/>
      <c r="R705" s="16"/>
      <c r="S705" s="16"/>
      <c r="T705" s="16"/>
      <c r="U705" s="16"/>
      <c r="V705" s="16"/>
    </row>
    <row r="706" spans="1:22" ht="13.2">
      <c r="A706" s="12"/>
      <c r="B706" s="46"/>
      <c r="C706" s="12"/>
      <c r="D706" s="15"/>
      <c r="E706" s="15"/>
      <c r="F706" s="15"/>
      <c r="G706" s="16"/>
      <c r="H706" s="16"/>
      <c r="I706" s="16"/>
      <c r="J706" s="16"/>
      <c r="K706" s="16"/>
      <c r="L706" s="16"/>
      <c r="M706" s="15"/>
      <c r="N706" s="16"/>
      <c r="O706" s="16"/>
      <c r="P706" s="16"/>
      <c r="Q706" s="16"/>
      <c r="R706" s="16"/>
      <c r="S706" s="16"/>
      <c r="T706" s="16"/>
      <c r="U706" s="16"/>
      <c r="V706" s="16"/>
    </row>
    <row r="707" spans="1:22" ht="13.2">
      <c r="A707" s="12"/>
      <c r="B707" s="46"/>
      <c r="C707" s="12"/>
      <c r="D707" s="15"/>
      <c r="E707" s="15"/>
      <c r="F707" s="15"/>
      <c r="G707" s="16"/>
      <c r="H707" s="16"/>
      <c r="I707" s="16"/>
      <c r="J707" s="16"/>
      <c r="K707" s="16"/>
      <c r="L707" s="16"/>
      <c r="M707" s="15"/>
      <c r="N707" s="16"/>
      <c r="O707" s="16"/>
      <c r="P707" s="16"/>
      <c r="Q707" s="16"/>
      <c r="R707" s="16"/>
      <c r="S707" s="16"/>
      <c r="T707" s="16"/>
      <c r="U707" s="16"/>
      <c r="V707" s="16"/>
    </row>
    <row r="708" spans="1:22" ht="13.2">
      <c r="A708" s="12"/>
      <c r="B708" s="46"/>
      <c r="C708" s="12"/>
      <c r="D708" s="15"/>
      <c r="E708" s="15"/>
      <c r="F708" s="15"/>
      <c r="G708" s="16"/>
      <c r="H708" s="16"/>
      <c r="I708" s="16"/>
      <c r="J708" s="16"/>
      <c r="K708" s="16"/>
      <c r="L708" s="16"/>
      <c r="M708" s="15"/>
      <c r="N708" s="16"/>
      <c r="O708" s="16"/>
      <c r="P708" s="16"/>
      <c r="Q708" s="16"/>
      <c r="R708" s="16"/>
      <c r="S708" s="16"/>
      <c r="T708" s="16"/>
      <c r="U708" s="16"/>
      <c r="V708" s="16"/>
    </row>
    <row r="709" spans="1:22" ht="13.2">
      <c r="A709" s="12"/>
      <c r="B709" s="46"/>
      <c r="C709" s="12"/>
      <c r="D709" s="15"/>
      <c r="E709" s="15"/>
      <c r="F709" s="15"/>
      <c r="G709" s="16"/>
      <c r="H709" s="16"/>
      <c r="I709" s="16"/>
      <c r="J709" s="16"/>
      <c r="K709" s="16"/>
      <c r="L709" s="16"/>
      <c r="M709" s="15"/>
      <c r="N709" s="16"/>
      <c r="O709" s="16"/>
      <c r="P709" s="16"/>
      <c r="Q709" s="16"/>
      <c r="R709" s="16"/>
      <c r="S709" s="16"/>
      <c r="T709" s="16"/>
      <c r="U709" s="16"/>
      <c r="V709" s="16"/>
    </row>
    <row r="710" spans="1:22" ht="13.2">
      <c r="A710" s="12"/>
      <c r="B710" s="46"/>
      <c r="C710" s="12"/>
      <c r="D710" s="15"/>
      <c r="E710" s="15"/>
      <c r="F710" s="15"/>
      <c r="G710" s="16"/>
      <c r="H710" s="16"/>
      <c r="I710" s="16"/>
      <c r="J710" s="16"/>
      <c r="K710" s="16"/>
      <c r="L710" s="16"/>
      <c r="M710" s="15"/>
      <c r="N710" s="16"/>
      <c r="O710" s="16"/>
      <c r="P710" s="16"/>
      <c r="Q710" s="16"/>
      <c r="R710" s="16"/>
      <c r="S710" s="16"/>
      <c r="T710" s="16"/>
      <c r="U710" s="16"/>
      <c r="V710" s="16"/>
    </row>
    <row r="711" spans="1:22" ht="13.2">
      <c r="A711" s="12"/>
      <c r="B711" s="46"/>
      <c r="C711" s="12"/>
      <c r="D711" s="15"/>
      <c r="E711" s="15"/>
      <c r="F711" s="15"/>
      <c r="G711" s="16"/>
      <c r="H711" s="16"/>
      <c r="I711" s="16"/>
      <c r="J711" s="16"/>
      <c r="K711" s="16"/>
      <c r="L711" s="16"/>
      <c r="M711" s="15"/>
      <c r="N711" s="16"/>
      <c r="O711" s="16"/>
      <c r="P711" s="16"/>
      <c r="Q711" s="16"/>
      <c r="R711" s="16"/>
      <c r="S711" s="16"/>
      <c r="T711" s="16"/>
      <c r="U711" s="16"/>
      <c r="V711" s="16"/>
    </row>
    <row r="712" spans="1:22" ht="13.2">
      <c r="A712" s="12"/>
      <c r="B712" s="46"/>
      <c r="C712" s="12"/>
      <c r="D712" s="15"/>
      <c r="E712" s="15"/>
      <c r="F712" s="15"/>
      <c r="G712" s="16"/>
      <c r="H712" s="16"/>
      <c r="I712" s="16"/>
      <c r="J712" s="16"/>
      <c r="K712" s="16"/>
      <c r="L712" s="16"/>
      <c r="M712" s="15"/>
      <c r="N712" s="16"/>
      <c r="O712" s="16"/>
      <c r="P712" s="16"/>
      <c r="Q712" s="16"/>
      <c r="R712" s="16"/>
      <c r="S712" s="16"/>
      <c r="T712" s="16"/>
      <c r="U712" s="16"/>
      <c r="V712" s="16"/>
    </row>
    <row r="713" spans="1:22" ht="13.2">
      <c r="A713" s="12"/>
      <c r="B713" s="46"/>
      <c r="C713" s="12"/>
      <c r="D713" s="15"/>
      <c r="E713" s="15"/>
      <c r="F713" s="15"/>
      <c r="G713" s="16"/>
      <c r="H713" s="16"/>
      <c r="I713" s="16"/>
      <c r="J713" s="16"/>
      <c r="K713" s="16"/>
      <c r="L713" s="16"/>
      <c r="M713" s="15"/>
      <c r="N713" s="16"/>
      <c r="O713" s="16"/>
      <c r="P713" s="16"/>
      <c r="Q713" s="16"/>
      <c r="R713" s="16"/>
      <c r="S713" s="16"/>
      <c r="T713" s="16"/>
      <c r="U713" s="16"/>
      <c r="V713" s="16"/>
    </row>
    <row r="714" spans="1:22" ht="13.2">
      <c r="A714" s="12"/>
      <c r="B714" s="46"/>
      <c r="C714" s="12"/>
      <c r="D714" s="15"/>
      <c r="E714" s="15"/>
      <c r="F714" s="15"/>
      <c r="G714" s="16"/>
      <c r="H714" s="16"/>
      <c r="I714" s="16"/>
      <c r="J714" s="16"/>
      <c r="K714" s="16"/>
      <c r="L714" s="16"/>
      <c r="M714" s="15"/>
      <c r="N714" s="16"/>
      <c r="O714" s="16"/>
      <c r="P714" s="16"/>
      <c r="Q714" s="16"/>
      <c r="R714" s="16"/>
      <c r="S714" s="16"/>
      <c r="T714" s="16"/>
      <c r="U714" s="16"/>
      <c r="V714" s="16"/>
    </row>
    <row r="715" spans="1:22" ht="13.2">
      <c r="A715" s="12"/>
      <c r="B715" s="46"/>
      <c r="C715" s="12"/>
      <c r="D715" s="15"/>
      <c r="E715" s="15"/>
      <c r="F715" s="15"/>
      <c r="G715" s="16"/>
      <c r="H715" s="16"/>
      <c r="I715" s="16"/>
      <c r="J715" s="16"/>
      <c r="K715" s="16"/>
      <c r="L715" s="16"/>
      <c r="M715" s="15"/>
      <c r="N715" s="16"/>
      <c r="O715" s="16"/>
      <c r="P715" s="16"/>
      <c r="Q715" s="16"/>
      <c r="R715" s="16"/>
      <c r="S715" s="16"/>
      <c r="T715" s="16"/>
      <c r="U715" s="16"/>
      <c r="V715" s="16"/>
    </row>
    <row r="716" spans="1:22" ht="13.2">
      <c r="A716" s="12"/>
      <c r="B716" s="46"/>
      <c r="C716" s="12"/>
      <c r="D716" s="15"/>
      <c r="E716" s="15"/>
      <c r="F716" s="15"/>
      <c r="G716" s="16"/>
      <c r="H716" s="16"/>
      <c r="I716" s="16"/>
      <c r="J716" s="16"/>
      <c r="K716" s="16"/>
      <c r="L716" s="16"/>
      <c r="M716" s="15"/>
      <c r="N716" s="16"/>
      <c r="O716" s="16"/>
      <c r="P716" s="16"/>
      <c r="Q716" s="16"/>
      <c r="R716" s="16"/>
      <c r="S716" s="16"/>
      <c r="T716" s="16"/>
      <c r="U716" s="16"/>
      <c r="V716" s="16"/>
    </row>
    <row r="717" spans="1:22" ht="13.2">
      <c r="A717" s="12"/>
      <c r="B717" s="46"/>
      <c r="C717" s="12"/>
      <c r="D717" s="15"/>
      <c r="E717" s="15"/>
      <c r="F717" s="15"/>
      <c r="G717" s="16"/>
      <c r="H717" s="16"/>
      <c r="I717" s="16"/>
      <c r="J717" s="16"/>
      <c r="K717" s="16"/>
      <c r="L717" s="16"/>
      <c r="M717" s="15"/>
      <c r="N717" s="16"/>
      <c r="O717" s="16"/>
      <c r="P717" s="16"/>
      <c r="Q717" s="16"/>
      <c r="R717" s="16"/>
      <c r="S717" s="16"/>
      <c r="T717" s="16"/>
      <c r="U717" s="16"/>
      <c r="V717" s="16"/>
    </row>
    <row r="718" spans="1:22" ht="13.2">
      <c r="A718" s="12"/>
      <c r="B718" s="46"/>
      <c r="C718" s="12"/>
      <c r="D718" s="15"/>
      <c r="E718" s="15"/>
      <c r="F718" s="15"/>
      <c r="G718" s="16"/>
      <c r="H718" s="16"/>
      <c r="I718" s="16"/>
      <c r="J718" s="16"/>
      <c r="K718" s="16"/>
      <c r="L718" s="16"/>
      <c r="M718" s="15"/>
      <c r="N718" s="16"/>
      <c r="O718" s="16"/>
      <c r="P718" s="16"/>
      <c r="Q718" s="16"/>
      <c r="R718" s="16"/>
      <c r="S718" s="16"/>
      <c r="T718" s="16"/>
      <c r="U718" s="16"/>
      <c r="V718" s="16"/>
    </row>
    <row r="719" spans="1:22" ht="13.2">
      <c r="A719" s="12"/>
      <c r="B719" s="46"/>
      <c r="C719" s="12"/>
      <c r="D719" s="15"/>
      <c r="E719" s="15"/>
      <c r="F719" s="15"/>
      <c r="G719" s="16"/>
      <c r="H719" s="16"/>
      <c r="I719" s="16"/>
      <c r="J719" s="16"/>
      <c r="K719" s="16"/>
      <c r="L719" s="16"/>
      <c r="M719" s="15"/>
      <c r="N719" s="16"/>
      <c r="O719" s="16"/>
      <c r="P719" s="16"/>
      <c r="Q719" s="16"/>
      <c r="R719" s="16"/>
      <c r="S719" s="16"/>
      <c r="T719" s="16"/>
      <c r="U719" s="16"/>
      <c r="V719" s="16"/>
    </row>
    <row r="720" spans="1:22" ht="13.2">
      <c r="A720" s="12"/>
      <c r="B720" s="46"/>
      <c r="C720" s="12"/>
      <c r="D720" s="15"/>
      <c r="E720" s="15"/>
      <c r="F720" s="15"/>
      <c r="G720" s="16"/>
      <c r="H720" s="16"/>
      <c r="I720" s="16"/>
      <c r="J720" s="16"/>
      <c r="K720" s="16"/>
      <c r="L720" s="16"/>
      <c r="M720" s="15"/>
      <c r="N720" s="16"/>
      <c r="O720" s="16"/>
      <c r="P720" s="16"/>
      <c r="Q720" s="16"/>
      <c r="R720" s="16"/>
      <c r="S720" s="16"/>
      <c r="T720" s="16"/>
      <c r="U720" s="16"/>
      <c r="V720" s="16"/>
    </row>
    <row r="721" spans="1:22" ht="13.2">
      <c r="A721" s="12"/>
      <c r="B721" s="46"/>
      <c r="C721" s="12"/>
      <c r="D721" s="15"/>
      <c r="E721" s="15"/>
      <c r="F721" s="15"/>
      <c r="G721" s="16"/>
      <c r="H721" s="16"/>
      <c r="I721" s="16"/>
      <c r="J721" s="16"/>
      <c r="K721" s="16"/>
      <c r="L721" s="16"/>
      <c r="M721" s="15"/>
      <c r="N721" s="16"/>
      <c r="O721" s="16"/>
      <c r="P721" s="16"/>
      <c r="Q721" s="16"/>
      <c r="R721" s="16"/>
      <c r="S721" s="16"/>
      <c r="T721" s="16"/>
      <c r="U721" s="16"/>
      <c r="V721" s="16"/>
    </row>
    <row r="722" spans="1:22" ht="13.2">
      <c r="A722" s="12"/>
      <c r="B722" s="46"/>
      <c r="C722" s="12"/>
      <c r="D722" s="15"/>
      <c r="E722" s="15"/>
      <c r="F722" s="15"/>
      <c r="G722" s="16"/>
      <c r="H722" s="16"/>
      <c r="I722" s="16"/>
      <c r="J722" s="16"/>
      <c r="K722" s="16"/>
      <c r="L722" s="16"/>
      <c r="M722" s="15"/>
      <c r="N722" s="16"/>
      <c r="O722" s="16"/>
      <c r="P722" s="16"/>
      <c r="Q722" s="16"/>
      <c r="R722" s="16"/>
      <c r="S722" s="16"/>
      <c r="T722" s="16"/>
      <c r="U722" s="16"/>
      <c r="V722" s="16"/>
    </row>
    <row r="723" spans="1:22" ht="13.2">
      <c r="A723" s="12"/>
      <c r="B723" s="46"/>
      <c r="C723" s="12"/>
      <c r="D723" s="15"/>
      <c r="E723" s="15"/>
      <c r="F723" s="15"/>
      <c r="G723" s="16"/>
      <c r="H723" s="16"/>
      <c r="I723" s="16"/>
      <c r="J723" s="16"/>
      <c r="K723" s="16"/>
      <c r="L723" s="16"/>
      <c r="M723" s="15"/>
      <c r="N723" s="16"/>
      <c r="O723" s="16"/>
      <c r="P723" s="16"/>
      <c r="Q723" s="16"/>
      <c r="R723" s="16"/>
      <c r="S723" s="16"/>
      <c r="T723" s="16"/>
      <c r="U723" s="16"/>
      <c r="V723" s="16"/>
    </row>
    <row r="724" spans="1:22" ht="13.2">
      <c r="A724" s="12"/>
      <c r="B724" s="46"/>
      <c r="C724" s="12"/>
      <c r="D724" s="15"/>
      <c r="E724" s="15"/>
      <c r="F724" s="15"/>
      <c r="G724" s="16"/>
      <c r="H724" s="16"/>
      <c r="I724" s="16"/>
      <c r="J724" s="16"/>
      <c r="K724" s="16"/>
      <c r="L724" s="16"/>
      <c r="M724" s="15"/>
      <c r="N724" s="16"/>
      <c r="O724" s="16"/>
      <c r="P724" s="16"/>
      <c r="Q724" s="16"/>
      <c r="R724" s="16"/>
      <c r="S724" s="16"/>
      <c r="T724" s="16"/>
      <c r="U724" s="16"/>
      <c r="V724" s="16"/>
    </row>
    <row r="725" spans="1:22" ht="13.2">
      <c r="A725" s="12"/>
      <c r="B725" s="46"/>
      <c r="C725" s="12"/>
      <c r="D725" s="15"/>
      <c r="E725" s="15"/>
      <c r="F725" s="15"/>
      <c r="G725" s="16"/>
      <c r="H725" s="16"/>
      <c r="I725" s="16"/>
      <c r="J725" s="16"/>
      <c r="K725" s="16"/>
      <c r="L725" s="16"/>
      <c r="M725" s="15"/>
      <c r="N725" s="16"/>
      <c r="O725" s="16"/>
      <c r="P725" s="16"/>
      <c r="Q725" s="16"/>
      <c r="R725" s="16"/>
      <c r="S725" s="16"/>
      <c r="T725" s="16"/>
      <c r="U725" s="16"/>
      <c r="V725" s="16"/>
    </row>
    <row r="726" spans="1:22" ht="13.2">
      <c r="A726" s="12"/>
      <c r="B726" s="46"/>
      <c r="C726" s="12"/>
      <c r="D726" s="15"/>
      <c r="E726" s="15"/>
      <c r="F726" s="15"/>
      <c r="G726" s="16"/>
      <c r="H726" s="16"/>
      <c r="I726" s="16"/>
      <c r="J726" s="16"/>
      <c r="K726" s="16"/>
      <c r="L726" s="16"/>
      <c r="M726" s="15"/>
      <c r="N726" s="16"/>
      <c r="O726" s="16"/>
      <c r="P726" s="16"/>
      <c r="Q726" s="16"/>
      <c r="R726" s="16"/>
      <c r="S726" s="16"/>
      <c r="T726" s="16"/>
      <c r="U726" s="16"/>
      <c r="V726" s="16"/>
    </row>
    <row r="727" spans="1:22" ht="13.2">
      <c r="A727" s="12"/>
      <c r="B727" s="46"/>
      <c r="C727" s="12"/>
      <c r="D727" s="15"/>
      <c r="E727" s="15"/>
      <c r="F727" s="15"/>
      <c r="G727" s="16"/>
      <c r="H727" s="16"/>
      <c r="I727" s="16"/>
      <c r="J727" s="16"/>
      <c r="K727" s="16"/>
      <c r="L727" s="16"/>
      <c r="M727" s="15"/>
      <c r="N727" s="16"/>
      <c r="O727" s="16"/>
      <c r="P727" s="16"/>
      <c r="Q727" s="16"/>
      <c r="R727" s="16"/>
      <c r="S727" s="16"/>
      <c r="T727" s="16"/>
      <c r="U727" s="16"/>
      <c r="V727" s="16"/>
    </row>
    <row r="728" spans="1:22" ht="13.2">
      <c r="A728" s="12"/>
      <c r="B728" s="46"/>
      <c r="C728" s="12"/>
      <c r="D728" s="15"/>
      <c r="E728" s="15"/>
      <c r="F728" s="15"/>
      <c r="G728" s="16"/>
      <c r="H728" s="16"/>
      <c r="I728" s="16"/>
      <c r="J728" s="16"/>
      <c r="K728" s="16"/>
      <c r="L728" s="16"/>
      <c r="M728" s="15"/>
      <c r="N728" s="16"/>
      <c r="O728" s="16"/>
      <c r="P728" s="16"/>
      <c r="Q728" s="16"/>
      <c r="R728" s="16"/>
      <c r="S728" s="16"/>
      <c r="T728" s="16"/>
      <c r="U728" s="16"/>
      <c r="V728" s="16"/>
    </row>
    <row r="729" spans="1:22" ht="13.2">
      <c r="A729" s="12"/>
      <c r="B729" s="46"/>
      <c r="C729" s="12"/>
      <c r="D729" s="15"/>
      <c r="E729" s="15"/>
      <c r="F729" s="15"/>
      <c r="G729" s="16"/>
      <c r="H729" s="16"/>
      <c r="I729" s="16"/>
      <c r="J729" s="16"/>
      <c r="K729" s="16"/>
      <c r="L729" s="16"/>
      <c r="M729" s="15"/>
      <c r="N729" s="16"/>
      <c r="O729" s="16"/>
      <c r="P729" s="16"/>
      <c r="Q729" s="16"/>
      <c r="R729" s="16"/>
      <c r="S729" s="16"/>
      <c r="T729" s="16"/>
      <c r="U729" s="16"/>
      <c r="V729" s="16"/>
    </row>
    <row r="730" spans="1:22" ht="13.2">
      <c r="A730" s="12"/>
      <c r="B730" s="46"/>
      <c r="C730" s="12"/>
      <c r="D730" s="15"/>
      <c r="E730" s="15"/>
      <c r="F730" s="15"/>
      <c r="G730" s="16"/>
      <c r="H730" s="16"/>
      <c r="I730" s="16"/>
      <c r="J730" s="16"/>
      <c r="K730" s="16"/>
      <c r="L730" s="16"/>
      <c r="M730" s="15"/>
      <c r="N730" s="16"/>
      <c r="O730" s="16"/>
      <c r="P730" s="16"/>
      <c r="Q730" s="16"/>
      <c r="R730" s="16"/>
      <c r="S730" s="16"/>
      <c r="T730" s="16"/>
      <c r="U730" s="16"/>
      <c r="V730" s="16"/>
    </row>
    <row r="731" spans="1:22" ht="13.2">
      <c r="A731" s="12"/>
      <c r="B731" s="46"/>
      <c r="C731" s="12"/>
      <c r="D731" s="15"/>
      <c r="E731" s="15"/>
      <c r="F731" s="15"/>
      <c r="G731" s="16"/>
      <c r="H731" s="16"/>
      <c r="I731" s="16"/>
      <c r="J731" s="16"/>
      <c r="K731" s="16"/>
      <c r="L731" s="16"/>
      <c r="M731" s="15"/>
      <c r="N731" s="16"/>
      <c r="O731" s="16"/>
      <c r="P731" s="16"/>
      <c r="Q731" s="16"/>
      <c r="R731" s="16"/>
      <c r="S731" s="16"/>
      <c r="T731" s="16"/>
      <c r="U731" s="16"/>
      <c r="V731" s="16"/>
    </row>
    <row r="732" spans="1:22" ht="13.2">
      <c r="A732" s="12"/>
      <c r="B732" s="46"/>
      <c r="C732" s="12"/>
      <c r="D732" s="15"/>
      <c r="E732" s="15"/>
      <c r="F732" s="15"/>
      <c r="G732" s="16"/>
      <c r="H732" s="16"/>
      <c r="I732" s="16"/>
      <c r="J732" s="16"/>
      <c r="K732" s="16"/>
      <c r="L732" s="16"/>
      <c r="M732" s="15"/>
      <c r="N732" s="16"/>
      <c r="O732" s="16"/>
      <c r="P732" s="16"/>
      <c r="Q732" s="16"/>
      <c r="R732" s="16"/>
      <c r="S732" s="16"/>
      <c r="T732" s="16"/>
      <c r="U732" s="16"/>
      <c r="V732" s="16"/>
    </row>
    <row r="733" spans="1:22" ht="13.2">
      <c r="A733" s="12"/>
      <c r="B733" s="46"/>
      <c r="C733" s="12"/>
      <c r="D733" s="15"/>
      <c r="E733" s="15"/>
      <c r="F733" s="15"/>
      <c r="G733" s="16"/>
      <c r="H733" s="16"/>
      <c r="I733" s="16"/>
      <c r="J733" s="16"/>
      <c r="K733" s="16"/>
      <c r="L733" s="16"/>
      <c r="M733" s="15"/>
      <c r="N733" s="16"/>
      <c r="O733" s="16"/>
      <c r="P733" s="16"/>
      <c r="Q733" s="16"/>
      <c r="R733" s="16"/>
      <c r="S733" s="16"/>
      <c r="T733" s="16"/>
      <c r="U733" s="16"/>
      <c r="V733" s="16"/>
    </row>
    <row r="734" spans="1:22" ht="13.2">
      <c r="A734" s="12"/>
      <c r="B734" s="46"/>
      <c r="C734" s="12"/>
      <c r="D734" s="15"/>
      <c r="E734" s="15"/>
      <c r="F734" s="15"/>
      <c r="G734" s="16"/>
      <c r="H734" s="16"/>
      <c r="I734" s="16"/>
      <c r="J734" s="16"/>
      <c r="K734" s="16"/>
      <c r="L734" s="16"/>
      <c r="M734" s="15"/>
      <c r="N734" s="16"/>
      <c r="O734" s="16"/>
      <c r="P734" s="16"/>
      <c r="Q734" s="16"/>
      <c r="R734" s="16"/>
      <c r="S734" s="16"/>
      <c r="T734" s="16"/>
      <c r="U734" s="16"/>
      <c r="V734" s="16"/>
    </row>
    <row r="735" spans="1:22" ht="13.2">
      <c r="A735" s="12"/>
      <c r="B735" s="46"/>
      <c r="C735" s="12"/>
      <c r="D735" s="15"/>
      <c r="E735" s="15"/>
      <c r="F735" s="15"/>
      <c r="G735" s="16"/>
      <c r="H735" s="16"/>
      <c r="I735" s="16"/>
      <c r="J735" s="16"/>
      <c r="K735" s="16"/>
      <c r="L735" s="16"/>
      <c r="M735" s="15"/>
      <c r="N735" s="16"/>
      <c r="O735" s="16"/>
      <c r="P735" s="16"/>
      <c r="Q735" s="16"/>
      <c r="R735" s="16"/>
      <c r="S735" s="16"/>
      <c r="T735" s="16"/>
      <c r="U735" s="16"/>
      <c r="V735" s="16"/>
    </row>
    <row r="736" spans="1:22" ht="13.2">
      <c r="A736" s="12"/>
      <c r="B736" s="46"/>
      <c r="C736" s="12"/>
      <c r="D736" s="15"/>
      <c r="E736" s="15"/>
      <c r="F736" s="15"/>
      <c r="G736" s="16"/>
      <c r="H736" s="16"/>
      <c r="I736" s="16"/>
      <c r="J736" s="16"/>
      <c r="K736" s="16"/>
      <c r="L736" s="16"/>
      <c r="M736" s="15"/>
      <c r="N736" s="16"/>
      <c r="O736" s="16"/>
      <c r="P736" s="16"/>
      <c r="Q736" s="16"/>
      <c r="R736" s="16"/>
      <c r="S736" s="16"/>
      <c r="T736" s="16"/>
      <c r="U736" s="16"/>
      <c r="V736" s="16"/>
    </row>
    <row r="737" spans="1:22" ht="13.2">
      <c r="A737" s="12"/>
      <c r="B737" s="46"/>
      <c r="C737" s="12"/>
      <c r="D737" s="15"/>
      <c r="E737" s="15"/>
      <c r="F737" s="15"/>
      <c r="G737" s="16"/>
      <c r="H737" s="16"/>
      <c r="I737" s="16"/>
      <c r="J737" s="16"/>
      <c r="K737" s="16"/>
      <c r="L737" s="16"/>
      <c r="M737" s="15"/>
      <c r="N737" s="16"/>
      <c r="O737" s="16"/>
      <c r="P737" s="16"/>
      <c r="Q737" s="16"/>
      <c r="R737" s="16"/>
      <c r="S737" s="16"/>
      <c r="T737" s="16"/>
      <c r="U737" s="16"/>
      <c r="V737" s="16"/>
    </row>
    <row r="738" spans="1:22" ht="13.2">
      <c r="A738" s="12"/>
      <c r="B738" s="46"/>
      <c r="C738" s="12"/>
      <c r="D738" s="15"/>
      <c r="E738" s="15"/>
      <c r="F738" s="15"/>
      <c r="G738" s="16"/>
      <c r="H738" s="16"/>
      <c r="I738" s="16"/>
      <c r="J738" s="16"/>
      <c r="K738" s="16"/>
      <c r="L738" s="16"/>
      <c r="M738" s="15"/>
      <c r="N738" s="16"/>
      <c r="O738" s="16"/>
      <c r="P738" s="16"/>
      <c r="Q738" s="16"/>
      <c r="R738" s="16"/>
      <c r="S738" s="16"/>
      <c r="T738" s="16"/>
      <c r="U738" s="16"/>
      <c r="V738" s="16"/>
    </row>
    <row r="739" spans="1:22" ht="13.2">
      <c r="A739" s="12"/>
      <c r="B739" s="46"/>
      <c r="C739" s="12"/>
      <c r="D739" s="15"/>
      <c r="E739" s="15"/>
      <c r="F739" s="15"/>
      <c r="G739" s="16"/>
      <c r="H739" s="16"/>
      <c r="I739" s="16"/>
      <c r="J739" s="16"/>
      <c r="K739" s="16"/>
      <c r="L739" s="16"/>
      <c r="M739" s="15"/>
      <c r="N739" s="16"/>
      <c r="O739" s="16"/>
      <c r="P739" s="16"/>
      <c r="Q739" s="16"/>
      <c r="R739" s="16"/>
      <c r="S739" s="16"/>
      <c r="T739" s="16"/>
      <c r="U739" s="16"/>
      <c r="V739" s="16"/>
    </row>
    <row r="740" spans="1:22" ht="13.2">
      <c r="A740" s="12"/>
      <c r="B740" s="46"/>
      <c r="C740" s="12"/>
      <c r="D740" s="15"/>
      <c r="E740" s="15"/>
      <c r="F740" s="15"/>
      <c r="G740" s="16"/>
      <c r="H740" s="16"/>
      <c r="I740" s="16"/>
      <c r="J740" s="16"/>
      <c r="K740" s="16"/>
      <c r="L740" s="16"/>
      <c r="M740" s="15"/>
      <c r="N740" s="16"/>
      <c r="O740" s="16"/>
      <c r="P740" s="16"/>
      <c r="Q740" s="16"/>
      <c r="R740" s="16"/>
      <c r="S740" s="16"/>
      <c r="T740" s="16"/>
      <c r="U740" s="16"/>
      <c r="V740" s="16"/>
    </row>
    <row r="741" spans="1:22" ht="13.2">
      <c r="A741" s="12"/>
      <c r="B741" s="46"/>
      <c r="C741" s="12"/>
      <c r="D741" s="15"/>
      <c r="E741" s="15"/>
      <c r="F741" s="15"/>
      <c r="G741" s="16"/>
      <c r="H741" s="16"/>
      <c r="I741" s="16"/>
      <c r="J741" s="16"/>
      <c r="K741" s="16"/>
      <c r="L741" s="16"/>
      <c r="M741" s="15"/>
      <c r="N741" s="16"/>
      <c r="O741" s="16"/>
      <c r="P741" s="16"/>
      <c r="Q741" s="16"/>
      <c r="R741" s="16"/>
      <c r="S741" s="16"/>
      <c r="T741" s="16"/>
      <c r="U741" s="16"/>
      <c r="V741" s="16"/>
    </row>
    <row r="742" spans="1:22" ht="13.2">
      <c r="A742" s="12"/>
      <c r="B742" s="46"/>
      <c r="C742" s="12"/>
      <c r="D742" s="15"/>
      <c r="E742" s="15"/>
      <c r="F742" s="15"/>
      <c r="G742" s="16"/>
      <c r="H742" s="16"/>
      <c r="I742" s="16"/>
      <c r="J742" s="16"/>
      <c r="K742" s="16"/>
      <c r="L742" s="16"/>
      <c r="M742" s="15"/>
      <c r="N742" s="16"/>
      <c r="O742" s="16"/>
      <c r="P742" s="16"/>
      <c r="Q742" s="16"/>
      <c r="R742" s="16"/>
      <c r="S742" s="16"/>
      <c r="T742" s="16"/>
      <c r="U742" s="16"/>
      <c r="V742" s="16"/>
    </row>
    <row r="743" spans="1:22" ht="13.2">
      <c r="A743" s="12"/>
      <c r="B743" s="46"/>
      <c r="C743" s="12"/>
      <c r="D743" s="15"/>
      <c r="E743" s="15"/>
      <c r="F743" s="15"/>
      <c r="G743" s="16"/>
      <c r="H743" s="16"/>
      <c r="I743" s="16"/>
      <c r="J743" s="16"/>
      <c r="K743" s="16"/>
      <c r="L743" s="16"/>
      <c r="M743" s="15"/>
      <c r="N743" s="16"/>
      <c r="O743" s="16"/>
      <c r="P743" s="16"/>
      <c r="Q743" s="16"/>
      <c r="R743" s="16"/>
      <c r="S743" s="16"/>
      <c r="T743" s="16"/>
      <c r="U743" s="16"/>
      <c r="V743" s="16"/>
    </row>
    <row r="744" spans="1:22" ht="13.2">
      <c r="A744" s="12"/>
      <c r="B744" s="46"/>
      <c r="C744" s="12"/>
      <c r="D744" s="15"/>
      <c r="E744" s="15"/>
      <c r="F744" s="15"/>
      <c r="G744" s="16"/>
      <c r="H744" s="16"/>
      <c r="I744" s="16"/>
      <c r="J744" s="16"/>
      <c r="K744" s="16"/>
      <c r="L744" s="16"/>
      <c r="M744" s="15"/>
      <c r="N744" s="16"/>
      <c r="O744" s="16"/>
      <c r="P744" s="16"/>
      <c r="Q744" s="16"/>
      <c r="R744" s="16"/>
      <c r="S744" s="16"/>
      <c r="T744" s="16"/>
      <c r="U744" s="16"/>
      <c r="V744" s="16"/>
    </row>
    <row r="745" spans="1:22" ht="13.2">
      <c r="A745" s="12"/>
      <c r="B745" s="46"/>
      <c r="C745" s="12"/>
      <c r="D745" s="15"/>
      <c r="E745" s="15"/>
      <c r="F745" s="15"/>
      <c r="G745" s="16"/>
      <c r="H745" s="16"/>
      <c r="I745" s="16"/>
      <c r="J745" s="16"/>
      <c r="K745" s="16"/>
      <c r="L745" s="16"/>
      <c r="M745" s="15"/>
      <c r="N745" s="16"/>
      <c r="O745" s="16"/>
      <c r="P745" s="16"/>
      <c r="Q745" s="16"/>
      <c r="R745" s="16"/>
      <c r="S745" s="16"/>
      <c r="T745" s="16"/>
      <c r="U745" s="16"/>
      <c r="V745" s="16"/>
    </row>
    <row r="746" spans="1:22" ht="13.2">
      <c r="A746" s="12"/>
      <c r="B746" s="46"/>
      <c r="C746" s="12"/>
      <c r="D746" s="15"/>
      <c r="E746" s="15"/>
      <c r="F746" s="15"/>
      <c r="G746" s="16"/>
      <c r="H746" s="16"/>
      <c r="I746" s="16"/>
      <c r="J746" s="16"/>
      <c r="K746" s="16"/>
      <c r="L746" s="16"/>
      <c r="M746" s="15"/>
      <c r="N746" s="16"/>
      <c r="O746" s="16"/>
      <c r="P746" s="16"/>
      <c r="Q746" s="16"/>
      <c r="R746" s="16"/>
      <c r="S746" s="16"/>
      <c r="T746" s="16"/>
      <c r="U746" s="16"/>
      <c r="V746" s="16"/>
    </row>
    <row r="747" spans="1:22" ht="13.2">
      <c r="A747" s="12"/>
      <c r="B747" s="46"/>
      <c r="C747" s="12"/>
      <c r="D747" s="15"/>
      <c r="E747" s="15"/>
      <c r="F747" s="15"/>
      <c r="G747" s="16"/>
      <c r="H747" s="16"/>
      <c r="I747" s="16"/>
      <c r="J747" s="16"/>
      <c r="K747" s="16"/>
      <c r="L747" s="16"/>
      <c r="M747" s="15"/>
      <c r="N747" s="16"/>
      <c r="O747" s="16"/>
      <c r="P747" s="16"/>
      <c r="Q747" s="16"/>
      <c r="R747" s="16"/>
      <c r="S747" s="16"/>
      <c r="T747" s="16"/>
      <c r="U747" s="16"/>
      <c r="V747" s="16"/>
    </row>
    <row r="748" spans="1:22" ht="13.2">
      <c r="A748" s="12"/>
      <c r="B748" s="46"/>
      <c r="C748" s="12"/>
      <c r="D748" s="15"/>
      <c r="E748" s="15"/>
      <c r="F748" s="15"/>
      <c r="G748" s="16"/>
      <c r="H748" s="16"/>
      <c r="I748" s="16"/>
      <c r="J748" s="16"/>
      <c r="K748" s="16"/>
      <c r="L748" s="16"/>
      <c r="M748" s="15"/>
      <c r="N748" s="16"/>
      <c r="O748" s="16"/>
      <c r="P748" s="16"/>
      <c r="Q748" s="16"/>
      <c r="R748" s="16"/>
      <c r="S748" s="16"/>
      <c r="T748" s="16"/>
      <c r="U748" s="16"/>
      <c r="V748" s="16"/>
    </row>
    <row r="749" spans="1:22" ht="13.2">
      <c r="A749" s="12"/>
      <c r="B749" s="46"/>
      <c r="C749" s="12"/>
      <c r="D749" s="15"/>
      <c r="E749" s="15"/>
      <c r="F749" s="15"/>
      <c r="G749" s="16"/>
      <c r="H749" s="16"/>
      <c r="I749" s="16"/>
      <c r="J749" s="16"/>
      <c r="K749" s="16"/>
      <c r="L749" s="16"/>
      <c r="M749" s="15"/>
      <c r="N749" s="16"/>
      <c r="O749" s="16"/>
      <c r="P749" s="16"/>
      <c r="Q749" s="16"/>
      <c r="R749" s="16"/>
      <c r="S749" s="16"/>
      <c r="T749" s="16"/>
      <c r="U749" s="16"/>
      <c r="V749" s="16"/>
    </row>
    <row r="750" spans="1:22" ht="13.2">
      <c r="A750" s="12"/>
      <c r="B750" s="46"/>
      <c r="C750" s="12"/>
      <c r="D750" s="15"/>
      <c r="E750" s="15"/>
      <c r="F750" s="15"/>
      <c r="G750" s="16"/>
      <c r="H750" s="16"/>
      <c r="I750" s="16"/>
      <c r="J750" s="16"/>
      <c r="K750" s="16"/>
      <c r="L750" s="16"/>
      <c r="M750" s="15"/>
      <c r="N750" s="16"/>
      <c r="O750" s="16"/>
      <c r="P750" s="16"/>
      <c r="Q750" s="16"/>
      <c r="R750" s="16"/>
      <c r="S750" s="16"/>
      <c r="T750" s="16"/>
      <c r="U750" s="16"/>
      <c r="V750" s="16"/>
    </row>
    <row r="751" spans="1:22" ht="13.2">
      <c r="A751" s="12"/>
      <c r="B751" s="46"/>
      <c r="C751" s="12"/>
      <c r="D751" s="15"/>
      <c r="E751" s="15"/>
      <c r="F751" s="15"/>
      <c r="G751" s="16"/>
      <c r="H751" s="16"/>
      <c r="I751" s="16"/>
      <c r="J751" s="16"/>
      <c r="K751" s="16"/>
      <c r="L751" s="16"/>
      <c r="M751" s="15"/>
      <c r="N751" s="16"/>
      <c r="O751" s="16"/>
      <c r="P751" s="16"/>
      <c r="Q751" s="16"/>
      <c r="R751" s="16"/>
      <c r="S751" s="16"/>
      <c r="T751" s="16"/>
      <c r="U751" s="16"/>
      <c r="V751" s="16"/>
    </row>
    <row r="752" spans="1:22" ht="13.2">
      <c r="A752" s="12"/>
      <c r="B752" s="46"/>
      <c r="C752" s="12"/>
      <c r="D752" s="15"/>
      <c r="E752" s="15"/>
      <c r="F752" s="15"/>
      <c r="G752" s="16"/>
      <c r="H752" s="16"/>
      <c r="I752" s="16"/>
      <c r="J752" s="16"/>
      <c r="K752" s="16"/>
      <c r="L752" s="16"/>
      <c r="M752" s="15"/>
      <c r="N752" s="16"/>
      <c r="O752" s="16"/>
      <c r="P752" s="16"/>
      <c r="Q752" s="16"/>
      <c r="R752" s="16"/>
      <c r="S752" s="16"/>
      <c r="T752" s="16"/>
      <c r="U752" s="16"/>
      <c r="V752" s="16"/>
    </row>
    <row r="753" spans="1:22" ht="13.2">
      <c r="A753" s="12"/>
      <c r="B753" s="46"/>
      <c r="C753" s="12"/>
      <c r="D753" s="15"/>
      <c r="E753" s="15"/>
      <c r="F753" s="15"/>
      <c r="G753" s="16"/>
      <c r="H753" s="16"/>
      <c r="I753" s="16"/>
      <c r="J753" s="16"/>
      <c r="K753" s="16"/>
      <c r="L753" s="16"/>
      <c r="M753" s="15"/>
      <c r="N753" s="16"/>
      <c r="O753" s="16"/>
      <c r="P753" s="16"/>
      <c r="Q753" s="16"/>
      <c r="R753" s="16"/>
      <c r="S753" s="16"/>
      <c r="T753" s="16"/>
      <c r="U753" s="16"/>
      <c r="V753" s="16"/>
    </row>
    <row r="754" spans="1:22" ht="13.2">
      <c r="A754" s="12"/>
      <c r="B754" s="46"/>
      <c r="C754" s="12"/>
      <c r="D754" s="15"/>
      <c r="E754" s="15"/>
      <c r="F754" s="15"/>
      <c r="G754" s="16"/>
      <c r="H754" s="16"/>
      <c r="I754" s="16"/>
      <c r="J754" s="16"/>
      <c r="K754" s="16"/>
      <c r="L754" s="16"/>
      <c r="M754" s="15"/>
      <c r="N754" s="16"/>
      <c r="O754" s="16"/>
      <c r="P754" s="16"/>
      <c r="Q754" s="16"/>
      <c r="R754" s="16"/>
      <c r="S754" s="16"/>
      <c r="T754" s="16"/>
      <c r="U754" s="16"/>
      <c r="V754" s="16"/>
    </row>
    <row r="755" spans="1:22" ht="13.2">
      <c r="A755" s="12"/>
      <c r="B755" s="46"/>
      <c r="C755" s="12"/>
      <c r="D755" s="15"/>
      <c r="E755" s="15"/>
      <c r="F755" s="15"/>
      <c r="G755" s="16"/>
      <c r="H755" s="16"/>
      <c r="I755" s="16"/>
      <c r="J755" s="16"/>
      <c r="K755" s="16"/>
      <c r="L755" s="16"/>
      <c r="M755" s="15"/>
      <c r="N755" s="16"/>
      <c r="O755" s="16"/>
      <c r="P755" s="16"/>
      <c r="Q755" s="16"/>
      <c r="R755" s="16"/>
      <c r="S755" s="16"/>
      <c r="T755" s="16"/>
      <c r="U755" s="16"/>
      <c r="V755" s="16"/>
    </row>
    <row r="756" spans="1:22" ht="13.2">
      <c r="A756" s="12"/>
      <c r="B756" s="46"/>
      <c r="C756" s="12"/>
      <c r="D756" s="15"/>
      <c r="E756" s="15"/>
      <c r="F756" s="15"/>
      <c r="G756" s="16"/>
      <c r="H756" s="16"/>
      <c r="I756" s="16"/>
      <c r="J756" s="16"/>
      <c r="K756" s="16"/>
      <c r="L756" s="16"/>
      <c r="M756" s="15"/>
      <c r="N756" s="16"/>
      <c r="O756" s="16"/>
      <c r="P756" s="16"/>
      <c r="Q756" s="16"/>
      <c r="R756" s="16"/>
      <c r="S756" s="16"/>
      <c r="T756" s="16"/>
      <c r="U756" s="16"/>
      <c r="V756" s="16"/>
    </row>
    <row r="757" spans="1:22" ht="13.2">
      <c r="A757" s="12"/>
      <c r="B757" s="46"/>
      <c r="C757" s="12"/>
      <c r="D757" s="15"/>
      <c r="E757" s="15"/>
      <c r="F757" s="15"/>
      <c r="G757" s="16"/>
      <c r="H757" s="16"/>
      <c r="I757" s="16"/>
      <c r="J757" s="16"/>
      <c r="K757" s="16"/>
      <c r="L757" s="16"/>
      <c r="M757" s="15"/>
      <c r="N757" s="16"/>
      <c r="O757" s="16"/>
      <c r="P757" s="16"/>
      <c r="Q757" s="16"/>
      <c r="R757" s="16"/>
      <c r="S757" s="16"/>
      <c r="T757" s="16"/>
      <c r="U757" s="16"/>
      <c r="V757" s="16"/>
    </row>
    <row r="758" spans="1:22" ht="13.2">
      <c r="A758" s="12"/>
      <c r="B758" s="46"/>
      <c r="C758" s="12"/>
      <c r="D758" s="15"/>
      <c r="E758" s="15"/>
      <c r="F758" s="15"/>
      <c r="G758" s="16"/>
      <c r="H758" s="16"/>
      <c r="I758" s="16"/>
      <c r="J758" s="16"/>
      <c r="K758" s="16"/>
      <c r="L758" s="16"/>
      <c r="M758" s="15"/>
      <c r="N758" s="16"/>
      <c r="O758" s="16"/>
      <c r="P758" s="16"/>
      <c r="Q758" s="16"/>
      <c r="R758" s="16"/>
      <c r="S758" s="16"/>
      <c r="T758" s="16"/>
      <c r="U758" s="16"/>
      <c r="V758" s="16"/>
    </row>
    <row r="759" spans="1:22" ht="13.2">
      <c r="A759" s="12"/>
      <c r="B759" s="46"/>
      <c r="C759" s="12"/>
      <c r="D759" s="15"/>
      <c r="E759" s="15"/>
      <c r="F759" s="15"/>
      <c r="G759" s="16"/>
      <c r="H759" s="16"/>
      <c r="I759" s="16"/>
      <c r="J759" s="16"/>
      <c r="K759" s="16"/>
      <c r="L759" s="16"/>
      <c r="M759" s="15"/>
      <c r="N759" s="16"/>
      <c r="O759" s="16"/>
      <c r="P759" s="16"/>
      <c r="Q759" s="16"/>
      <c r="R759" s="16"/>
      <c r="S759" s="16"/>
      <c r="T759" s="16"/>
      <c r="U759" s="16"/>
      <c r="V759" s="16"/>
    </row>
    <row r="760" spans="1:22" ht="13.2">
      <c r="A760" s="12"/>
      <c r="B760" s="46"/>
      <c r="C760" s="12"/>
      <c r="D760" s="15"/>
      <c r="E760" s="15"/>
      <c r="F760" s="15"/>
      <c r="G760" s="16"/>
      <c r="H760" s="16"/>
      <c r="I760" s="16"/>
      <c r="J760" s="16"/>
      <c r="K760" s="16"/>
      <c r="L760" s="16"/>
      <c r="M760" s="15"/>
      <c r="N760" s="16"/>
      <c r="O760" s="16"/>
      <c r="P760" s="16"/>
      <c r="Q760" s="16"/>
      <c r="R760" s="16"/>
      <c r="S760" s="16"/>
      <c r="T760" s="16"/>
      <c r="U760" s="16"/>
      <c r="V760" s="16"/>
    </row>
    <row r="761" spans="1:22" ht="13.2">
      <c r="A761" s="12"/>
      <c r="B761" s="46"/>
      <c r="C761" s="12"/>
      <c r="D761" s="15"/>
      <c r="E761" s="15"/>
      <c r="F761" s="15"/>
      <c r="G761" s="16"/>
      <c r="H761" s="16"/>
      <c r="I761" s="16"/>
      <c r="J761" s="16"/>
      <c r="K761" s="16"/>
      <c r="L761" s="16"/>
      <c r="M761" s="15"/>
      <c r="N761" s="16"/>
      <c r="O761" s="16"/>
      <c r="P761" s="16"/>
      <c r="Q761" s="16"/>
      <c r="R761" s="16"/>
      <c r="S761" s="16"/>
      <c r="T761" s="16"/>
      <c r="U761" s="16"/>
      <c r="V761" s="16"/>
    </row>
    <row r="762" spans="1:22" ht="13.2">
      <c r="A762" s="12"/>
      <c r="B762" s="46"/>
      <c r="C762" s="12"/>
      <c r="D762" s="15"/>
      <c r="E762" s="15"/>
      <c r="F762" s="15"/>
      <c r="G762" s="16"/>
      <c r="H762" s="16"/>
      <c r="I762" s="16"/>
      <c r="J762" s="16"/>
      <c r="K762" s="16"/>
      <c r="L762" s="16"/>
      <c r="M762" s="15"/>
      <c r="N762" s="16"/>
      <c r="O762" s="16"/>
      <c r="P762" s="16"/>
      <c r="Q762" s="16"/>
      <c r="R762" s="16"/>
      <c r="S762" s="16"/>
      <c r="T762" s="16"/>
      <c r="U762" s="16"/>
      <c r="V762" s="16"/>
    </row>
    <row r="763" spans="1:22" ht="13.2">
      <c r="A763" s="12"/>
      <c r="B763" s="46"/>
      <c r="C763" s="12"/>
      <c r="D763" s="15"/>
      <c r="E763" s="15"/>
      <c r="F763" s="15"/>
      <c r="G763" s="16"/>
      <c r="H763" s="16"/>
      <c r="I763" s="16"/>
      <c r="J763" s="16"/>
      <c r="K763" s="16"/>
      <c r="L763" s="16"/>
      <c r="M763" s="15"/>
      <c r="N763" s="16"/>
      <c r="O763" s="16"/>
      <c r="P763" s="16"/>
      <c r="Q763" s="16"/>
      <c r="R763" s="16"/>
      <c r="S763" s="16"/>
      <c r="T763" s="16"/>
      <c r="U763" s="16"/>
      <c r="V763" s="16"/>
    </row>
    <row r="764" spans="1:22" ht="13.2">
      <c r="A764" s="12"/>
      <c r="B764" s="46"/>
      <c r="C764" s="12"/>
      <c r="D764" s="15"/>
      <c r="E764" s="15"/>
      <c r="F764" s="15"/>
      <c r="G764" s="16"/>
      <c r="H764" s="16"/>
      <c r="I764" s="16"/>
      <c r="J764" s="16"/>
      <c r="K764" s="16"/>
      <c r="L764" s="16"/>
      <c r="M764" s="15"/>
      <c r="N764" s="16"/>
      <c r="O764" s="16"/>
      <c r="P764" s="16"/>
      <c r="Q764" s="16"/>
      <c r="R764" s="16"/>
      <c r="S764" s="16"/>
      <c r="T764" s="16"/>
      <c r="U764" s="16"/>
      <c r="V764" s="16"/>
    </row>
    <row r="765" spans="1:22" ht="13.2">
      <c r="A765" s="12"/>
      <c r="B765" s="46"/>
      <c r="C765" s="12"/>
      <c r="D765" s="15"/>
      <c r="E765" s="15"/>
      <c r="F765" s="15"/>
      <c r="G765" s="16"/>
      <c r="H765" s="16"/>
      <c r="I765" s="16"/>
      <c r="J765" s="16"/>
      <c r="K765" s="16"/>
      <c r="L765" s="16"/>
      <c r="M765" s="15"/>
      <c r="N765" s="16"/>
      <c r="O765" s="16"/>
      <c r="P765" s="16"/>
      <c r="Q765" s="16"/>
      <c r="R765" s="16"/>
      <c r="S765" s="16"/>
      <c r="T765" s="16"/>
      <c r="U765" s="16"/>
      <c r="V765" s="16"/>
    </row>
    <row r="766" spans="1:22" ht="13.2">
      <c r="A766" s="12"/>
      <c r="B766" s="46"/>
      <c r="C766" s="12"/>
      <c r="D766" s="15"/>
      <c r="E766" s="15"/>
      <c r="F766" s="15"/>
      <c r="G766" s="16"/>
      <c r="H766" s="16"/>
      <c r="I766" s="16"/>
      <c r="J766" s="16"/>
      <c r="K766" s="16"/>
      <c r="L766" s="16"/>
      <c r="M766" s="15"/>
      <c r="N766" s="16"/>
      <c r="O766" s="16"/>
      <c r="P766" s="16"/>
      <c r="Q766" s="16"/>
      <c r="R766" s="16"/>
      <c r="S766" s="16"/>
      <c r="T766" s="16"/>
      <c r="U766" s="16"/>
      <c r="V766" s="16"/>
    </row>
    <row r="767" spans="1:22" ht="13.2">
      <c r="A767" s="12"/>
      <c r="B767" s="46"/>
      <c r="C767" s="12"/>
      <c r="D767" s="15"/>
      <c r="E767" s="15"/>
      <c r="F767" s="15"/>
      <c r="G767" s="16"/>
      <c r="H767" s="16"/>
      <c r="I767" s="16"/>
      <c r="J767" s="16"/>
      <c r="K767" s="16"/>
      <c r="L767" s="16"/>
      <c r="M767" s="15"/>
      <c r="N767" s="16"/>
      <c r="O767" s="16"/>
      <c r="P767" s="16"/>
      <c r="Q767" s="16"/>
      <c r="R767" s="16"/>
      <c r="S767" s="16"/>
      <c r="T767" s="16"/>
      <c r="U767" s="16"/>
      <c r="V767" s="16"/>
    </row>
    <row r="768" spans="1:22" ht="13.2">
      <c r="A768" s="12"/>
      <c r="B768" s="46"/>
      <c r="C768" s="12"/>
      <c r="D768" s="15"/>
      <c r="E768" s="15"/>
      <c r="F768" s="15"/>
      <c r="G768" s="16"/>
      <c r="H768" s="16"/>
      <c r="I768" s="16"/>
      <c r="J768" s="16"/>
      <c r="K768" s="16"/>
      <c r="L768" s="16"/>
      <c r="M768" s="15"/>
      <c r="N768" s="16"/>
      <c r="O768" s="16"/>
      <c r="P768" s="16"/>
      <c r="Q768" s="16"/>
      <c r="R768" s="16"/>
      <c r="S768" s="16"/>
      <c r="T768" s="16"/>
      <c r="U768" s="16"/>
      <c r="V768" s="16"/>
    </row>
    <row r="769" spans="1:22" ht="13.2">
      <c r="A769" s="12"/>
      <c r="B769" s="46"/>
      <c r="C769" s="12"/>
      <c r="D769" s="15"/>
      <c r="E769" s="15"/>
      <c r="F769" s="15"/>
      <c r="G769" s="16"/>
      <c r="H769" s="16"/>
      <c r="I769" s="16"/>
      <c r="J769" s="16"/>
      <c r="K769" s="16"/>
      <c r="L769" s="16"/>
      <c r="M769" s="15"/>
      <c r="N769" s="16"/>
      <c r="O769" s="16"/>
      <c r="P769" s="16"/>
      <c r="Q769" s="16"/>
      <c r="R769" s="16"/>
      <c r="S769" s="16"/>
      <c r="T769" s="16"/>
      <c r="U769" s="16"/>
      <c r="V769" s="16"/>
    </row>
    <row r="770" spans="1:22" ht="13.2">
      <c r="A770" s="12"/>
      <c r="B770" s="46"/>
      <c r="C770" s="12"/>
      <c r="D770" s="15"/>
      <c r="E770" s="15"/>
      <c r="F770" s="15"/>
      <c r="G770" s="16"/>
      <c r="H770" s="16"/>
      <c r="I770" s="16"/>
      <c r="J770" s="16"/>
      <c r="K770" s="16"/>
      <c r="L770" s="16"/>
      <c r="M770" s="15"/>
      <c r="N770" s="16"/>
      <c r="O770" s="16"/>
      <c r="P770" s="16"/>
      <c r="Q770" s="16"/>
      <c r="R770" s="16"/>
      <c r="S770" s="16"/>
      <c r="T770" s="16"/>
      <c r="U770" s="16"/>
      <c r="V770" s="16"/>
    </row>
    <row r="771" spans="1:22" ht="13.2">
      <c r="A771" s="12"/>
      <c r="B771" s="46"/>
      <c r="C771" s="12"/>
      <c r="D771" s="15"/>
      <c r="E771" s="15"/>
      <c r="F771" s="15"/>
      <c r="G771" s="16"/>
      <c r="H771" s="16"/>
      <c r="I771" s="16"/>
      <c r="J771" s="16"/>
      <c r="K771" s="16"/>
      <c r="L771" s="16"/>
      <c r="M771" s="15"/>
      <c r="N771" s="16"/>
      <c r="O771" s="16"/>
      <c r="P771" s="16"/>
      <c r="Q771" s="16"/>
      <c r="R771" s="16"/>
      <c r="S771" s="16"/>
      <c r="T771" s="16"/>
      <c r="U771" s="16"/>
      <c r="V771" s="16"/>
    </row>
    <row r="772" spans="1:22" ht="13.2">
      <c r="A772" s="12"/>
      <c r="B772" s="46"/>
      <c r="C772" s="12"/>
      <c r="D772" s="15"/>
      <c r="E772" s="15"/>
      <c r="F772" s="15"/>
      <c r="G772" s="16"/>
      <c r="H772" s="16"/>
      <c r="I772" s="16"/>
      <c r="J772" s="16"/>
      <c r="K772" s="16"/>
      <c r="L772" s="16"/>
      <c r="M772" s="15"/>
      <c r="N772" s="16"/>
      <c r="O772" s="16"/>
      <c r="P772" s="16"/>
      <c r="Q772" s="16"/>
      <c r="R772" s="16"/>
      <c r="S772" s="16"/>
      <c r="T772" s="16"/>
      <c r="U772" s="16"/>
      <c r="V772" s="16"/>
    </row>
    <row r="773" spans="1:22" ht="13.2">
      <c r="A773" s="12"/>
      <c r="B773" s="46"/>
      <c r="C773" s="12"/>
      <c r="D773" s="15"/>
      <c r="E773" s="15"/>
      <c r="F773" s="15"/>
      <c r="G773" s="16"/>
      <c r="H773" s="16"/>
      <c r="I773" s="16"/>
      <c r="J773" s="16"/>
      <c r="K773" s="16"/>
      <c r="L773" s="16"/>
      <c r="M773" s="15"/>
      <c r="N773" s="16"/>
      <c r="O773" s="16"/>
      <c r="P773" s="16"/>
      <c r="Q773" s="16"/>
      <c r="R773" s="16"/>
      <c r="S773" s="16"/>
      <c r="T773" s="16"/>
      <c r="U773" s="16"/>
      <c r="V773" s="16"/>
    </row>
    <row r="774" spans="1:22" ht="13.2">
      <c r="A774" s="12"/>
      <c r="B774" s="46"/>
      <c r="C774" s="12"/>
      <c r="D774" s="15"/>
      <c r="E774" s="15"/>
      <c r="F774" s="15"/>
      <c r="G774" s="16"/>
      <c r="H774" s="16"/>
      <c r="I774" s="16"/>
      <c r="J774" s="16"/>
      <c r="K774" s="16"/>
      <c r="L774" s="16"/>
      <c r="M774" s="15"/>
      <c r="N774" s="16"/>
      <c r="O774" s="16"/>
      <c r="P774" s="16"/>
      <c r="Q774" s="16"/>
      <c r="R774" s="16"/>
      <c r="S774" s="16"/>
      <c r="T774" s="16"/>
      <c r="U774" s="16"/>
      <c r="V774" s="16"/>
    </row>
    <row r="775" spans="1:22" ht="13.2">
      <c r="A775" s="12"/>
      <c r="B775" s="46"/>
      <c r="C775" s="12"/>
      <c r="D775" s="15"/>
      <c r="E775" s="15"/>
      <c r="F775" s="15"/>
      <c r="G775" s="16"/>
      <c r="H775" s="16"/>
      <c r="I775" s="16"/>
      <c r="J775" s="16"/>
      <c r="K775" s="16"/>
      <c r="L775" s="16"/>
      <c r="M775" s="15"/>
      <c r="N775" s="16"/>
      <c r="O775" s="16"/>
      <c r="P775" s="16"/>
      <c r="Q775" s="16"/>
      <c r="R775" s="16"/>
      <c r="S775" s="16"/>
      <c r="T775" s="16"/>
      <c r="U775" s="16"/>
      <c r="V775" s="16"/>
    </row>
    <row r="776" spans="1:22" ht="13.2">
      <c r="A776" s="12"/>
      <c r="B776" s="46"/>
      <c r="C776" s="12"/>
      <c r="D776" s="15"/>
      <c r="E776" s="15"/>
      <c r="F776" s="15"/>
      <c r="G776" s="16"/>
      <c r="H776" s="16"/>
      <c r="I776" s="16"/>
      <c r="J776" s="16"/>
      <c r="K776" s="16"/>
      <c r="L776" s="16"/>
      <c r="M776" s="15"/>
      <c r="N776" s="16"/>
      <c r="O776" s="16"/>
      <c r="P776" s="16"/>
      <c r="Q776" s="16"/>
      <c r="R776" s="16"/>
      <c r="S776" s="16"/>
      <c r="T776" s="16"/>
      <c r="U776" s="16"/>
      <c r="V776" s="16"/>
    </row>
    <row r="777" spans="1:22" ht="13.2">
      <c r="A777" s="12"/>
      <c r="B777" s="46"/>
      <c r="C777" s="12"/>
      <c r="D777" s="15"/>
      <c r="E777" s="15"/>
      <c r="F777" s="15"/>
      <c r="G777" s="16"/>
      <c r="H777" s="16"/>
      <c r="I777" s="16"/>
      <c r="J777" s="16"/>
      <c r="K777" s="16"/>
      <c r="L777" s="16"/>
      <c r="M777" s="15"/>
      <c r="N777" s="16"/>
      <c r="O777" s="16"/>
      <c r="P777" s="16"/>
      <c r="Q777" s="16"/>
      <c r="R777" s="16"/>
      <c r="S777" s="16"/>
      <c r="T777" s="16"/>
      <c r="U777" s="16"/>
      <c r="V777" s="16"/>
    </row>
    <row r="778" spans="1:22" ht="13.2">
      <c r="A778" s="12"/>
      <c r="B778" s="46"/>
      <c r="C778" s="12"/>
      <c r="D778" s="15"/>
      <c r="E778" s="15"/>
      <c r="F778" s="15"/>
      <c r="G778" s="16"/>
      <c r="H778" s="16"/>
      <c r="I778" s="16"/>
      <c r="J778" s="16"/>
      <c r="K778" s="16"/>
      <c r="L778" s="16"/>
      <c r="M778" s="15"/>
      <c r="N778" s="16"/>
      <c r="O778" s="16"/>
      <c r="P778" s="16"/>
      <c r="Q778" s="16"/>
      <c r="R778" s="16"/>
      <c r="S778" s="16"/>
      <c r="T778" s="16"/>
      <c r="U778" s="16"/>
      <c r="V778" s="16"/>
    </row>
    <row r="779" spans="1:22" ht="13.2">
      <c r="A779" s="12"/>
      <c r="B779" s="46"/>
      <c r="C779" s="12"/>
      <c r="D779" s="15"/>
      <c r="E779" s="15"/>
      <c r="F779" s="15"/>
      <c r="G779" s="16"/>
      <c r="H779" s="16"/>
      <c r="I779" s="16"/>
      <c r="J779" s="16"/>
      <c r="K779" s="16"/>
      <c r="L779" s="16"/>
      <c r="M779" s="15"/>
      <c r="N779" s="16"/>
      <c r="O779" s="16"/>
      <c r="P779" s="16"/>
      <c r="Q779" s="16"/>
      <c r="R779" s="16"/>
      <c r="S779" s="16"/>
      <c r="T779" s="16"/>
      <c r="U779" s="16"/>
      <c r="V779" s="16"/>
    </row>
    <row r="780" spans="1:22" ht="13.2">
      <c r="A780" s="12"/>
      <c r="B780" s="46"/>
      <c r="C780" s="12"/>
      <c r="D780" s="15"/>
      <c r="E780" s="15"/>
      <c r="F780" s="15"/>
      <c r="G780" s="16"/>
      <c r="H780" s="16"/>
      <c r="I780" s="16"/>
      <c r="J780" s="16"/>
      <c r="K780" s="16"/>
      <c r="L780" s="16"/>
      <c r="M780" s="15"/>
      <c r="N780" s="16"/>
      <c r="O780" s="16"/>
      <c r="P780" s="16"/>
      <c r="Q780" s="16"/>
      <c r="R780" s="16"/>
      <c r="S780" s="16"/>
      <c r="T780" s="16"/>
      <c r="U780" s="16"/>
      <c r="V780" s="16"/>
    </row>
    <row r="781" spans="1:22" ht="13.2">
      <c r="A781" s="12"/>
      <c r="B781" s="46"/>
      <c r="C781" s="12"/>
      <c r="D781" s="15"/>
      <c r="E781" s="15"/>
      <c r="F781" s="15"/>
      <c r="G781" s="16"/>
      <c r="H781" s="16"/>
      <c r="I781" s="16"/>
      <c r="J781" s="16"/>
      <c r="K781" s="16"/>
      <c r="L781" s="16"/>
      <c r="M781" s="15"/>
      <c r="N781" s="16"/>
      <c r="O781" s="16"/>
      <c r="P781" s="16"/>
      <c r="Q781" s="16"/>
      <c r="R781" s="16"/>
      <c r="S781" s="16"/>
      <c r="T781" s="16"/>
      <c r="U781" s="16"/>
      <c r="V781" s="16"/>
    </row>
    <row r="782" spans="1:22" ht="13.2">
      <c r="A782" s="12"/>
      <c r="B782" s="46"/>
      <c r="C782" s="12"/>
      <c r="D782" s="15"/>
      <c r="E782" s="15"/>
      <c r="F782" s="15"/>
      <c r="G782" s="16"/>
      <c r="H782" s="16"/>
      <c r="I782" s="16"/>
      <c r="J782" s="16"/>
      <c r="K782" s="16"/>
      <c r="L782" s="16"/>
      <c r="M782" s="15"/>
      <c r="N782" s="16"/>
      <c r="O782" s="16"/>
      <c r="P782" s="16"/>
      <c r="Q782" s="16"/>
      <c r="R782" s="16"/>
      <c r="S782" s="16"/>
      <c r="T782" s="16"/>
      <c r="U782" s="16"/>
      <c r="V782" s="16"/>
    </row>
    <row r="783" spans="1:22" ht="13.2">
      <c r="A783" s="12"/>
      <c r="B783" s="46"/>
      <c r="C783" s="12"/>
      <c r="D783" s="15"/>
      <c r="E783" s="15"/>
      <c r="F783" s="15"/>
      <c r="G783" s="16"/>
      <c r="H783" s="16"/>
      <c r="I783" s="16"/>
      <c r="J783" s="16"/>
      <c r="K783" s="16"/>
      <c r="L783" s="16"/>
      <c r="M783" s="15"/>
      <c r="N783" s="16"/>
      <c r="O783" s="16"/>
      <c r="P783" s="16"/>
      <c r="Q783" s="16"/>
      <c r="R783" s="16"/>
      <c r="S783" s="16"/>
      <c r="T783" s="16"/>
      <c r="U783" s="16"/>
      <c r="V783" s="16"/>
    </row>
    <row r="784" spans="1:22" ht="13.2">
      <c r="A784" s="12"/>
      <c r="B784" s="46"/>
      <c r="C784" s="12"/>
      <c r="D784" s="15"/>
      <c r="E784" s="15"/>
      <c r="F784" s="15"/>
      <c r="G784" s="16"/>
      <c r="H784" s="16"/>
      <c r="I784" s="16"/>
      <c r="J784" s="16"/>
      <c r="K784" s="16"/>
      <c r="L784" s="16"/>
      <c r="M784" s="15"/>
      <c r="N784" s="16"/>
      <c r="O784" s="16"/>
      <c r="P784" s="16"/>
      <c r="Q784" s="16"/>
      <c r="R784" s="16"/>
      <c r="S784" s="16"/>
      <c r="T784" s="16"/>
      <c r="U784" s="16"/>
      <c r="V784" s="16"/>
    </row>
    <row r="785" spans="1:22" ht="13.2">
      <c r="A785" s="12"/>
      <c r="B785" s="46"/>
      <c r="C785" s="12"/>
      <c r="D785" s="15"/>
      <c r="E785" s="15"/>
      <c r="F785" s="15"/>
      <c r="G785" s="16"/>
      <c r="H785" s="16"/>
      <c r="I785" s="16"/>
      <c r="J785" s="16"/>
      <c r="K785" s="16"/>
      <c r="L785" s="16"/>
      <c r="M785" s="15"/>
      <c r="N785" s="16"/>
      <c r="O785" s="16"/>
      <c r="P785" s="16"/>
      <c r="Q785" s="16"/>
      <c r="R785" s="16"/>
      <c r="S785" s="16"/>
      <c r="T785" s="16"/>
      <c r="U785" s="16"/>
      <c r="V785" s="16"/>
    </row>
    <row r="786" spans="1:22" ht="13.2">
      <c r="A786" s="12"/>
      <c r="B786" s="46"/>
      <c r="C786" s="12"/>
      <c r="D786" s="15"/>
      <c r="E786" s="15"/>
      <c r="F786" s="15"/>
      <c r="G786" s="16"/>
      <c r="H786" s="16"/>
      <c r="I786" s="16"/>
      <c r="J786" s="16"/>
      <c r="K786" s="16"/>
      <c r="L786" s="16"/>
      <c r="M786" s="15"/>
      <c r="N786" s="16"/>
      <c r="O786" s="16"/>
      <c r="P786" s="16"/>
      <c r="Q786" s="16"/>
      <c r="R786" s="16"/>
      <c r="S786" s="16"/>
      <c r="T786" s="16"/>
      <c r="U786" s="16"/>
      <c r="V786" s="16"/>
    </row>
    <row r="787" spans="1:22" ht="13.2">
      <c r="A787" s="12"/>
      <c r="B787" s="46"/>
      <c r="C787" s="12"/>
      <c r="D787" s="15"/>
      <c r="E787" s="15"/>
      <c r="F787" s="15"/>
      <c r="G787" s="16"/>
      <c r="H787" s="16"/>
      <c r="I787" s="16"/>
      <c r="J787" s="16"/>
      <c r="K787" s="16"/>
      <c r="L787" s="16"/>
      <c r="M787" s="15"/>
      <c r="N787" s="16"/>
      <c r="O787" s="16"/>
      <c r="P787" s="16"/>
      <c r="Q787" s="16"/>
      <c r="R787" s="16"/>
      <c r="S787" s="16"/>
      <c r="T787" s="16"/>
      <c r="U787" s="16"/>
      <c r="V787" s="16"/>
    </row>
    <row r="788" spans="1:22" ht="13.2">
      <c r="A788" s="12"/>
      <c r="B788" s="46"/>
      <c r="C788" s="12"/>
      <c r="D788" s="15"/>
      <c r="E788" s="15"/>
      <c r="F788" s="15"/>
      <c r="G788" s="16"/>
      <c r="H788" s="16"/>
      <c r="I788" s="16"/>
      <c r="J788" s="16"/>
      <c r="K788" s="16"/>
      <c r="L788" s="16"/>
      <c r="M788" s="15"/>
      <c r="N788" s="16"/>
      <c r="O788" s="16"/>
      <c r="P788" s="16"/>
      <c r="Q788" s="16"/>
      <c r="R788" s="16"/>
      <c r="S788" s="16"/>
      <c r="T788" s="16"/>
      <c r="U788" s="16"/>
      <c r="V788" s="16"/>
    </row>
    <row r="789" spans="1:22" ht="13.2">
      <c r="A789" s="12"/>
      <c r="B789" s="46"/>
      <c r="C789" s="12"/>
      <c r="D789" s="15"/>
      <c r="E789" s="15"/>
      <c r="F789" s="15"/>
      <c r="G789" s="16"/>
      <c r="H789" s="16"/>
      <c r="I789" s="16"/>
      <c r="J789" s="16"/>
      <c r="K789" s="16"/>
      <c r="L789" s="16"/>
      <c r="M789" s="15"/>
      <c r="N789" s="16"/>
      <c r="O789" s="16"/>
      <c r="P789" s="16"/>
      <c r="Q789" s="16"/>
      <c r="R789" s="16"/>
      <c r="S789" s="16"/>
      <c r="T789" s="16"/>
      <c r="U789" s="16"/>
      <c r="V789" s="16"/>
    </row>
    <row r="790" spans="1:22" ht="13.2">
      <c r="A790" s="12"/>
      <c r="B790" s="46"/>
      <c r="C790" s="12"/>
      <c r="D790" s="15"/>
      <c r="E790" s="15"/>
      <c r="F790" s="15"/>
      <c r="G790" s="16"/>
      <c r="H790" s="16"/>
      <c r="I790" s="16"/>
      <c r="J790" s="16"/>
      <c r="K790" s="16"/>
      <c r="L790" s="16"/>
      <c r="M790" s="15"/>
      <c r="N790" s="16"/>
      <c r="O790" s="16"/>
      <c r="P790" s="16"/>
      <c r="Q790" s="16"/>
      <c r="R790" s="16"/>
      <c r="S790" s="16"/>
      <c r="T790" s="16"/>
      <c r="U790" s="16"/>
      <c r="V790" s="16"/>
    </row>
    <row r="791" spans="1:22" ht="13.2">
      <c r="A791" s="12"/>
      <c r="B791" s="46"/>
      <c r="C791" s="12"/>
      <c r="D791" s="15"/>
      <c r="E791" s="15"/>
      <c r="F791" s="15"/>
      <c r="G791" s="16"/>
      <c r="H791" s="16"/>
      <c r="I791" s="16"/>
      <c r="J791" s="16"/>
      <c r="K791" s="16"/>
      <c r="L791" s="16"/>
      <c r="M791" s="15"/>
      <c r="N791" s="16"/>
      <c r="O791" s="16"/>
      <c r="P791" s="16"/>
      <c r="Q791" s="16"/>
      <c r="R791" s="16"/>
      <c r="S791" s="16"/>
      <c r="T791" s="16"/>
      <c r="U791" s="16"/>
      <c r="V791" s="16"/>
    </row>
    <row r="792" spans="1:22" ht="13.2">
      <c r="A792" s="12"/>
      <c r="B792" s="46"/>
      <c r="C792" s="12"/>
      <c r="D792" s="15"/>
      <c r="E792" s="15"/>
      <c r="F792" s="15"/>
      <c r="G792" s="16"/>
      <c r="H792" s="16"/>
      <c r="I792" s="16"/>
      <c r="J792" s="16"/>
      <c r="K792" s="16"/>
      <c r="L792" s="16"/>
      <c r="M792" s="15"/>
      <c r="N792" s="16"/>
      <c r="O792" s="16"/>
      <c r="P792" s="16"/>
      <c r="Q792" s="16"/>
      <c r="R792" s="16"/>
      <c r="S792" s="16"/>
      <c r="T792" s="16"/>
      <c r="U792" s="16"/>
      <c r="V792" s="16"/>
    </row>
    <row r="793" spans="1:22" ht="13.2">
      <c r="A793" s="12"/>
      <c r="B793" s="46"/>
      <c r="C793" s="12"/>
      <c r="D793" s="15"/>
      <c r="E793" s="15"/>
      <c r="F793" s="15"/>
      <c r="G793" s="16"/>
      <c r="H793" s="16"/>
      <c r="I793" s="16"/>
      <c r="J793" s="16"/>
      <c r="K793" s="16"/>
      <c r="L793" s="16"/>
      <c r="M793" s="15"/>
      <c r="N793" s="16"/>
      <c r="O793" s="16"/>
      <c r="P793" s="16"/>
      <c r="Q793" s="16"/>
      <c r="R793" s="16"/>
      <c r="S793" s="16"/>
      <c r="T793" s="16"/>
      <c r="U793" s="16"/>
      <c r="V793" s="16"/>
    </row>
    <row r="794" spans="1:22" ht="13.2">
      <c r="A794" s="12"/>
      <c r="B794" s="46"/>
      <c r="C794" s="12"/>
      <c r="D794" s="15"/>
      <c r="E794" s="15"/>
      <c r="F794" s="15"/>
      <c r="G794" s="16"/>
      <c r="H794" s="16"/>
      <c r="I794" s="16"/>
      <c r="J794" s="16"/>
      <c r="K794" s="16"/>
      <c r="L794" s="16"/>
      <c r="M794" s="15"/>
      <c r="N794" s="16"/>
      <c r="O794" s="16"/>
      <c r="P794" s="16"/>
      <c r="Q794" s="16"/>
      <c r="R794" s="16"/>
      <c r="S794" s="16"/>
      <c r="T794" s="16"/>
      <c r="U794" s="16"/>
      <c r="V794" s="16"/>
    </row>
    <row r="795" spans="1:22" ht="13.2">
      <c r="A795" s="12"/>
      <c r="B795" s="46"/>
      <c r="C795" s="12"/>
      <c r="D795" s="15"/>
      <c r="E795" s="15"/>
      <c r="F795" s="15"/>
      <c r="G795" s="16"/>
      <c r="H795" s="16"/>
      <c r="I795" s="16"/>
      <c r="J795" s="16"/>
      <c r="K795" s="16"/>
      <c r="L795" s="16"/>
      <c r="M795" s="15"/>
      <c r="N795" s="16"/>
      <c r="O795" s="16"/>
      <c r="P795" s="16"/>
      <c r="Q795" s="16"/>
      <c r="R795" s="16"/>
      <c r="S795" s="16"/>
      <c r="T795" s="16"/>
      <c r="U795" s="16"/>
      <c r="V795" s="16"/>
    </row>
    <row r="796" spans="1:22" ht="13.2">
      <c r="A796" s="12"/>
      <c r="B796" s="46"/>
      <c r="C796" s="12"/>
      <c r="D796" s="15"/>
      <c r="E796" s="15"/>
      <c r="F796" s="15"/>
      <c r="G796" s="16"/>
      <c r="H796" s="16"/>
      <c r="I796" s="16"/>
      <c r="J796" s="16"/>
      <c r="K796" s="16"/>
      <c r="L796" s="16"/>
      <c r="M796" s="15"/>
      <c r="N796" s="16"/>
      <c r="O796" s="16"/>
      <c r="P796" s="16"/>
      <c r="Q796" s="16"/>
      <c r="R796" s="16"/>
      <c r="S796" s="16"/>
      <c r="T796" s="16"/>
      <c r="U796" s="16"/>
      <c r="V796" s="16"/>
    </row>
    <row r="797" spans="1:22" ht="13.2">
      <c r="A797" s="12"/>
      <c r="B797" s="46"/>
      <c r="C797" s="12"/>
      <c r="D797" s="15"/>
      <c r="E797" s="15"/>
      <c r="F797" s="15"/>
      <c r="G797" s="16"/>
      <c r="H797" s="16"/>
      <c r="I797" s="16"/>
      <c r="J797" s="16"/>
      <c r="K797" s="16"/>
      <c r="L797" s="16"/>
      <c r="M797" s="15"/>
      <c r="N797" s="16"/>
      <c r="O797" s="16"/>
      <c r="P797" s="16"/>
      <c r="Q797" s="16"/>
      <c r="R797" s="16"/>
      <c r="S797" s="16"/>
      <c r="T797" s="16"/>
      <c r="U797" s="16"/>
      <c r="V797" s="16"/>
    </row>
    <row r="798" spans="1:22" ht="13.2">
      <c r="A798" s="12"/>
      <c r="B798" s="46"/>
      <c r="C798" s="12"/>
      <c r="D798" s="15"/>
      <c r="E798" s="15"/>
      <c r="F798" s="15"/>
      <c r="G798" s="16"/>
      <c r="H798" s="16"/>
      <c r="I798" s="16"/>
      <c r="J798" s="16"/>
      <c r="K798" s="16"/>
      <c r="L798" s="16"/>
      <c r="M798" s="15"/>
      <c r="N798" s="16"/>
      <c r="O798" s="16"/>
      <c r="P798" s="16"/>
      <c r="Q798" s="16"/>
      <c r="R798" s="16"/>
      <c r="S798" s="16"/>
      <c r="T798" s="16"/>
      <c r="U798" s="16"/>
      <c r="V798" s="16"/>
    </row>
    <row r="799" spans="1:22" ht="13.2">
      <c r="A799" s="12"/>
      <c r="B799" s="46"/>
      <c r="C799" s="12"/>
      <c r="D799" s="15"/>
      <c r="E799" s="15"/>
      <c r="F799" s="15"/>
      <c r="G799" s="16"/>
      <c r="H799" s="16"/>
      <c r="I799" s="16"/>
      <c r="J799" s="16"/>
      <c r="K799" s="16"/>
      <c r="L799" s="16"/>
      <c r="M799" s="15"/>
      <c r="N799" s="16"/>
      <c r="O799" s="16"/>
      <c r="P799" s="16"/>
      <c r="Q799" s="16"/>
      <c r="R799" s="16"/>
      <c r="S799" s="16"/>
      <c r="T799" s="16"/>
      <c r="U799" s="16"/>
      <c r="V799" s="16"/>
    </row>
    <row r="800" spans="1:22" ht="13.2">
      <c r="A800" s="12"/>
      <c r="B800" s="46"/>
      <c r="C800" s="12"/>
      <c r="D800" s="15"/>
      <c r="E800" s="15"/>
      <c r="F800" s="15"/>
      <c r="G800" s="16"/>
      <c r="H800" s="16"/>
      <c r="I800" s="16"/>
      <c r="J800" s="16"/>
      <c r="K800" s="16"/>
      <c r="L800" s="16"/>
      <c r="M800" s="15"/>
      <c r="N800" s="16"/>
      <c r="O800" s="16"/>
      <c r="P800" s="16"/>
      <c r="Q800" s="16"/>
      <c r="R800" s="16"/>
      <c r="S800" s="16"/>
      <c r="T800" s="16"/>
      <c r="U800" s="16"/>
      <c r="V800" s="16"/>
    </row>
    <row r="801" spans="1:22" ht="13.2">
      <c r="A801" s="12"/>
      <c r="B801" s="46"/>
      <c r="C801" s="12"/>
      <c r="D801" s="15"/>
      <c r="E801" s="15"/>
      <c r="F801" s="15"/>
      <c r="G801" s="16"/>
      <c r="H801" s="16"/>
      <c r="I801" s="16"/>
      <c r="J801" s="16"/>
      <c r="K801" s="16"/>
      <c r="L801" s="16"/>
      <c r="M801" s="15"/>
      <c r="N801" s="16"/>
      <c r="O801" s="16"/>
      <c r="P801" s="16"/>
      <c r="Q801" s="16"/>
      <c r="R801" s="16"/>
      <c r="S801" s="16"/>
      <c r="T801" s="16"/>
      <c r="U801" s="16"/>
      <c r="V801" s="16"/>
    </row>
    <row r="802" spans="1:22" ht="13.2">
      <c r="A802" s="12"/>
      <c r="B802" s="46"/>
      <c r="C802" s="12"/>
      <c r="D802" s="15"/>
      <c r="E802" s="15"/>
      <c r="F802" s="15"/>
      <c r="G802" s="16"/>
      <c r="H802" s="16"/>
      <c r="I802" s="16"/>
      <c r="J802" s="16"/>
      <c r="K802" s="16"/>
      <c r="L802" s="16"/>
      <c r="M802" s="15"/>
      <c r="N802" s="16"/>
      <c r="O802" s="16"/>
      <c r="P802" s="16"/>
      <c r="Q802" s="16"/>
      <c r="R802" s="16"/>
      <c r="S802" s="16"/>
      <c r="T802" s="16"/>
      <c r="U802" s="16"/>
      <c r="V802" s="16"/>
    </row>
    <row r="803" spans="1:22" ht="13.2">
      <c r="A803" s="12"/>
      <c r="B803" s="46"/>
      <c r="C803" s="12"/>
      <c r="D803" s="15"/>
      <c r="E803" s="15"/>
      <c r="F803" s="15"/>
      <c r="G803" s="16"/>
      <c r="H803" s="16"/>
      <c r="I803" s="16"/>
      <c r="J803" s="16"/>
      <c r="K803" s="16"/>
      <c r="L803" s="16"/>
      <c r="M803" s="15"/>
      <c r="N803" s="16"/>
      <c r="O803" s="16"/>
      <c r="P803" s="16"/>
      <c r="Q803" s="16"/>
      <c r="R803" s="16"/>
      <c r="S803" s="16"/>
      <c r="T803" s="16"/>
      <c r="U803" s="16"/>
      <c r="V803" s="16"/>
    </row>
    <row r="804" spans="1:22" ht="13.2">
      <c r="A804" s="12"/>
      <c r="B804" s="46"/>
      <c r="C804" s="12"/>
      <c r="D804" s="15"/>
      <c r="E804" s="15"/>
      <c r="F804" s="15"/>
      <c r="G804" s="16"/>
      <c r="H804" s="16"/>
      <c r="I804" s="16"/>
      <c r="J804" s="16"/>
      <c r="K804" s="16"/>
      <c r="L804" s="16"/>
      <c r="M804" s="15"/>
      <c r="N804" s="16"/>
      <c r="O804" s="16"/>
      <c r="P804" s="16"/>
      <c r="Q804" s="16"/>
      <c r="R804" s="16"/>
      <c r="S804" s="16"/>
      <c r="T804" s="16"/>
      <c r="U804" s="16"/>
      <c r="V804" s="16"/>
    </row>
    <row r="805" spans="1:22" ht="13.2">
      <c r="A805" s="12"/>
      <c r="B805" s="46"/>
      <c r="C805" s="12"/>
      <c r="D805" s="15"/>
      <c r="E805" s="15"/>
      <c r="F805" s="15"/>
      <c r="G805" s="16"/>
      <c r="H805" s="16"/>
      <c r="I805" s="16"/>
      <c r="J805" s="16"/>
      <c r="K805" s="16"/>
      <c r="L805" s="16"/>
      <c r="M805" s="15"/>
      <c r="N805" s="16"/>
      <c r="O805" s="16"/>
      <c r="P805" s="16"/>
      <c r="Q805" s="16"/>
      <c r="R805" s="16"/>
      <c r="S805" s="16"/>
      <c r="T805" s="16"/>
      <c r="U805" s="16"/>
      <c r="V805" s="16"/>
    </row>
    <row r="806" spans="1:22" ht="13.2">
      <c r="A806" s="12"/>
      <c r="B806" s="46"/>
      <c r="C806" s="12"/>
      <c r="D806" s="15"/>
      <c r="E806" s="15"/>
      <c r="F806" s="15"/>
      <c r="G806" s="16"/>
      <c r="H806" s="16"/>
      <c r="I806" s="16"/>
      <c r="J806" s="16"/>
      <c r="K806" s="16"/>
      <c r="L806" s="16"/>
      <c r="M806" s="15"/>
      <c r="N806" s="16"/>
      <c r="O806" s="16"/>
      <c r="P806" s="16"/>
      <c r="Q806" s="16"/>
      <c r="R806" s="16"/>
      <c r="S806" s="16"/>
      <c r="T806" s="16"/>
      <c r="U806" s="16"/>
      <c r="V806" s="16"/>
    </row>
    <row r="807" spans="1:22" ht="13.2">
      <c r="A807" s="12"/>
      <c r="B807" s="46"/>
      <c r="C807" s="12"/>
      <c r="D807" s="15"/>
      <c r="E807" s="15"/>
      <c r="F807" s="15"/>
      <c r="G807" s="16"/>
      <c r="H807" s="16"/>
      <c r="I807" s="16"/>
      <c r="J807" s="16"/>
      <c r="K807" s="16"/>
      <c r="L807" s="16"/>
      <c r="M807" s="15"/>
      <c r="N807" s="16"/>
      <c r="O807" s="16"/>
      <c r="P807" s="16"/>
      <c r="Q807" s="16"/>
      <c r="R807" s="16"/>
      <c r="S807" s="16"/>
      <c r="T807" s="16"/>
      <c r="U807" s="16"/>
      <c r="V807" s="16"/>
    </row>
    <row r="808" spans="1:22" ht="13.2">
      <c r="A808" s="12"/>
      <c r="B808" s="46"/>
      <c r="C808" s="12"/>
      <c r="D808" s="15"/>
      <c r="E808" s="15"/>
      <c r="F808" s="15"/>
      <c r="G808" s="16"/>
      <c r="H808" s="16"/>
      <c r="I808" s="16"/>
      <c r="J808" s="16"/>
      <c r="K808" s="16"/>
      <c r="L808" s="16"/>
      <c r="M808" s="15"/>
      <c r="N808" s="16"/>
      <c r="O808" s="16"/>
      <c r="P808" s="16"/>
      <c r="Q808" s="16"/>
      <c r="R808" s="16"/>
      <c r="S808" s="16"/>
      <c r="T808" s="16"/>
      <c r="U808" s="16"/>
      <c r="V808" s="16"/>
    </row>
    <row r="809" spans="1:22" ht="13.2">
      <c r="A809" s="12"/>
      <c r="B809" s="46"/>
      <c r="C809" s="12"/>
      <c r="D809" s="15"/>
      <c r="E809" s="15"/>
      <c r="F809" s="15"/>
      <c r="G809" s="16"/>
      <c r="H809" s="16"/>
      <c r="I809" s="16"/>
      <c r="J809" s="16"/>
      <c r="K809" s="16"/>
      <c r="L809" s="16"/>
      <c r="M809" s="15"/>
      <c r="N809" s="16"/>
      <c r="O809" s="16"/>
      <c r="P809" s="16"/>
      <c r="Q809" s="16"/>
      <c r="R809" s="16"/>
      <c r="S809" s="16"/>
      <c r="T809" s="16"/>
      <c r="U809" s="16"/>
      <c r="V809" s="16"/>
    </row>
    <row r="810" spans="1:22" ht="13.2">
      <c r="A810" s="12"/>
      <c r="B810" s="46"/>
      <c r="C810" s="12"/>
      <c r="D810" s="15"/>
      <c r="E810" s="15"/>
      <c r="F810" s="15"/>
      <c r="G810" s="16"/>
      <c r="H810" s="16"/>
      <c r="I810" s="16"/>
      <c r="J810" s="16"/>
      <c r="K810" s="16"/>
      <c r="L810" s="16"/>
      <c r="M810" s="15"/>
      <c r="N810" s="16"/>
      <c r="O810" s="16"/>
      <c r="P810" s="16"/>
      <c r="Q810" s="16"/>
      <c r="R810" s="16"/>
      <c r="S810" s="16"/>
      <c r="T810" s="16"/>
      <c r="U810" s="16"/>
      <c r="V810" s="16"/>
    </row>
    <row r="811" spans="1:22" ht="13.2">
      <c r="A811" s="12"/>
      <c r="B811" s="46"/>
      <c r="C811" s="12"/>
      <c r="D811" s="15"/>
      <c r="E811" s="15"/>
      <c r="F811" s="15"/>
      <c r="G811" s="16"/>
      <c r="H811" s="16"/>
      <c r="I811" s="16"/>
      <c r="J811" s="16"/>
      <c r="K811" s="16"/>
      <c r="L811" s="16"/>
      <c r="M811" s="15"/>
      <c r="N811" s="16"/>
      <c r="O811" s="16"/>
      <c r="P811" s="16"/>
      <c r="Q811" s="16"/>
      <c r="R811" s="16"/>
      <c r="S811" s="16"/>
      <c r="T811" s="16"/>
      <c r="U811" s="16"/>
      <c r="V811" s="16"/>
    </row>
    <row r="812" spans="1:22" ht="13.2">
      <c r="A812" s="12"/>
      <c r="B812" s="46"/>
      <c r="C812" s="12"/>
      <c r="D812" s="15"/>
      <c r="E812" s="15"/>
      <c r="F812" s="15"/>
      <c r="G812" s="16"/>
      <c r="H812" s="16"/>
      <c r="I812" s="16"/>
      <c r="J812" s="16"/>
      <c r="K812" s="16"/>
      <c r="L812" s="16"/>
      <c r="M812" s="15"/>
      <c r="N812" s="16"/>
      <c r="O812" s="16"/>
      <c r="P812" s="16"/>
      <c r="Q812" s="16"/>
      <c r="R812" s="16"/>
      <c r="S812" s="16"/>
      <c r="T812" s="16"/>
      <c r="U812" s="16"/>
      <c r="V812" s="16"/>
    </row>
    <row r="813" spans="1:22" ht="13.2">
      <c r="A813" s="12"/>
      <c r="B813" s="46"/>
      <c r="C813" s="12"/>
      <c r="D813" s="15"/>
      <c r="E813" s="15"/>
      <c r="F813" s="15"/>
      <c r="G813" s="16"/>
      <c r="H813" s="16"/>
      <c r="I813" s="16"/>
      <c r="J813" s="16"/>
      <c r="K813" s="16"/>
      <c r="L813" s="16"/>
      <c r="M813" s="15"/>
      <c r="N813" s="16"/>
      <c r="O813" s="16"/>
      <c r="P813" s="16"/>
      <c r="Q813" s="16"/>
      <c r="R813" s="16"/>
      <c r="S813" s="16"/>
      <c r="T813" s="16"/>
      <c r="U813" s="16"/>
      <c r="V813" s="16"/>
    </row>
    <row r="814" spans="1:22" ht="13.2">
      <c r="A814" s="12"/>
      <c r="B814" s="46"/>
      <c r="C814" s="12"/>
      <c r="D814" s="15"/>
      <c r="E814" s="15"/>
      <c r="F814" s="15"/>
      <c r="G814" s="16"/>
      <c r="H814" s="16"/>
      <c r="I814" s="16"/>
      <c r="J814" s="16"/>
      <c r="K814" s="16"/>
      <c r="L814" s="16"/>
      <c r="M814" s="15"/>
      <c r="N814" s="16"/>
      <c r="O814" s="16"/>
      <c r="P814" s="16"/>
      <c r="Q814" s="16"/>
      <c r="R814" s="16"/>
      <c r="S814" s="16"/>
      <c r="T814" s="16"/>
      <c r="U814" s="16"/>
      <c r="V814" s="16"/>
    </row>
    <row r="815" spans="1:22" ht="13.2">
      <c r="A815" s="12"/>
      <c r="B815" s="46"/>
      <c r="C815" s="12"/>
      <c r="D815" s="15"/>
      <c r="E815" s="15"/>
      <c r="F815" s="15"/>
      <c r="G815" s="16"/>
      <c r="H815" s="16"/>
      <c r="I815" s="16"/>
      <c r="J815" s="16"/>
      <c r="K815" s="16"/>
      <c r="L815" s="16"/>
      <c r="M815" s="15"/>
      <c r="N815" s="16"/>
      <c r="O815" s="16"/>
      <c r="P815" s="16"/>
      <c r="Q815" s="16"/>
      <c r="R815" s="16"/>
      <c r="S815" s="16"/>
      <c r="T815" s="16"/>
      <c r="U815" s="16"/>
      <c r="V815" s="16"/>
    </row>
    <row r="816" spans="1:22" ht="13.2">
      <c r="A816" s="12"/>
      <c r="B816" s="46"/>
      <c r="C816" s="12"/>
      <c r="D816" s="15"/>
      <c r="E816" s="15"/>
      <c r="F816" s="15"/>
      <c r="G816" s="16"/>
      <c r="H816" s="16"/>
      <c r="I816" s="16"/>
      <c r="J816" s="16"/>
      <c r="K816" s="16"/>
      <c r="L816" s="16"/>
      <c r="M816" s="15"/>
      <c r="N816" s="16"/>
      <c r="O816" s="16"/>
      <c r="P816" s="16"/>
      <c r="Q816" s="16"/>
      <c r="R816" s="16"/>
      <c r="S816" s="16"/>
      <c r="T816" s="16"/>
      <c r="U816" s="16"/>
      <c r="V816" s="16"/>
    </row>
    <row r="817" spans="1:22" ht="13.2">
      <c r="A817" s="12"/>
      <c r="B817" s="46"/>
      <c r="C817" s="12"/>
      <c r="D817" s="15"/>
      <c r="E817" s="15"/>
      <c r="F817" s="15"/>
      <c r="G817" s="16"/>
      <c r="H817" s="16"/>
      <c r="I817" s="16"/>
      <c r="J817" s="16"/>
      <c r="K817" s="16"/>
      <c r="L817" s="16"/>
      <c r="M817" s="15"/>
      <c r="N817" s="16"/>
      <c r="O817" s="16"/>
      <c r="P817" s="16"/>
      <c r="Q817" s="16"/>
      <c r="R817" s="16"/>
      <c r="S817" s="16"/>
      <c r="T817" s="16"/>
      <c r="U817" s="16"/>
      <c r="V817" s="16"/>
    </row>
    <row r="818" spans="1:22" ht="13.2">
      <c r="A818" s="12"/>
      <c r="B818" s="46"/>
      <c r="C818" s="12"/>
      <c r="D818" s="15"/>
      <c r="E818" s="15"/>
      <c r="F818" s="15"/>
      <c r="G818" s="16"/>
      <c r="H818" s="16"/>
      <c r="I818" s="16"/>
      <c r="J818" s="16"/>
      <c r="K818" s="16"/>
      <c r="L818" s="16"/>
      <c r="M818" s="15"/>
      <c r="N818" s="16"/>
      <c r="O818" s="16"/>
      <c r="P818" s="16"/>
      <c r="Q818" s="16"/>
      <c r="R818" s="16"/>
      <c r="S818" s="16"/>
      <c r="T818" s="16"/>
      <c r="U818" s="16"/>
      <c r="V818" s="16"/>
    </row>
    <row r="819" spans="1:22" ht="13.2">
      <c r="A819" s="12"/>
      <c r="B819" s="46"/>
      <c r="C819" s="12"/>
      <c r="D819" s="15"/>
      <c r="E819" s="15"/>
      <c r="F819" s="15"/>
      <c r="G819" s="16"/>
      <c r="H819" s="16"/>
      <c r="I819" s="16"/>
      <c r="J819" s="16"/>
      <c r="K819" s="16"/>
      <c r="L819" s="16"/>
      <c r="M819" s="15"/>
      <c r="N819" s="16"/>
      <c r="O819" s="16"/>
      <c r="P819" s="16"/>
      <c r="Q819" s="16"/>
      <c r="R819" s="16"/>
      <c r="S819" s="16"/>
      <c r="T819" s="16"/>
      <c r="U819" s="16"/>
      <c r="V819" s="16"/>
    </row>
    <row r="820" spans="1:22" ht="13.2">
      <c r="A820" s="12"/>
      <c r="B820" s="46"/>
      <c r="C820" s="12"/>
      <c r="D820" s="15"/>
      <c r="E820" s="15"/>
      <c r="F820" s="15"/>
      <c r="G820" s="16"/>
      <c r="H820" s="16"/>
      <c r="I820" s="16"/>
      <c r="J820" s="16"/>
      <c r="K820" s="16"/>
      <c r="L820" s="16"/>
      <c r="M820" s="15"/>
      <c r="N820" s="16"/>
      <c r="O820" s="16"/>
      <c r="P820" s="16"/>
      <c r="Q820" s="16"/>
      <c r="R820" s="16"/>
      <c r="S820" s="16"/>
      <c r="T820" s="16"/>
      <c r="U820" s="16"/>
      <c r="V820" s="16"/>
    </row>
    <row r="821" spans="1:22" ht="13.2">
      <c r="A821" s="12"/>
      <c r="B821" s="46"/>
      <c r="C821" s="12"/>
      <c r="D821" s="15"/>
      <c r="E821" s="15"/>
      <c r="F821" s="15"/>
      <c r="G821" s="16"/>
      <c r="H821" s="16"/>
      <c r="I821" s="16"/>
      <c r="J821" s="16"/>
      <c r="K821" s="16"/>
      <c r="L821" s="16"/>
      <c r="M821" s="15"/>
      <c r="N821" s="16"/>
      <c r="O821" s="16"/>
      <c r="P821" s="16"/>
      <c r="Q821" s="16"/>
      <c r="R821" s="16"/>
      <c r="S821" s="16"/>
      <c r="T821" s="16"/>
      <c r="U821" s="16"/>
      <c r="V821" s="16"/>
    </row>
    <row r="822" spans="1:22" ht="13.2">
      <c r="A822" s="12"/>
      <c r="B822" s="46"/>
      <c r="C822" s="12"/>
      <c r="D822" s="15"/>
      <c r="E822" s="15"/>
      <c r="F822" s="15"/>
      <c r="G822" s="16"/>
      <c r="H822" s="16"/>
      <c r="I822" s="16"/>
      <c r="J822" s="16"/>
      <c r="K822" s="16"/>
      <c r="L822" s="16"/>
      <c r="M822" s="15"/>
      <c r="N822" s="16"/>
      <c r="O822" s="16"/>
      <c r="P822" s="16"/>
      <c r="Q822" s="16"/>
      <c r="R822" s="16"/>
      <c r="S822" s="16"/>
      <c r="T822" s="16"/>
      <c r="U822" s="16"/>
      <c r="V822" s="16"/>
    </row>
    <row r="823" spans="1:22" ht="13.2">
      <c r="A823" s="12"/>
      <c r="B823" s="46"/>
      <c r="C823" s="12"/>
      <c r="D823" s="15"/>
      <c r="E823" s="15"/>
      <c r="F823" s="15"/>
      <c r="G823" s="16"/>
      <c r="H823" s="16"/>
      <c r="I823" s="16"/>
      <c r="J823" s="16"/>
      <c r="K823" s="16"/>
      <c r="L823" s="16"/>
      <c r="M823" s="15"/>
      <c r="N823" s="16"/>
      <c r="O823" s="16"/>
      <c r="P823" s="16"/>
      <c r="Q823" s="16"/>
      <c r="R823" s="16"/>
      <c r="S823" s="16"/>
      <c r="T823" s="16"/>
      <c r="U823" s="16"/>
      <c r="V823" s="16"/>
    </row>
    <row r="824" spans="1:22" ht="13.2">
      <c r="A824" s="12"/>
      <c r="B824" s="46"/>
      <c r="C824" s="12"/>
      <c r="D824" s="15"/>
      <c r="E824" s="15"/>
      <c r="F824" s="15"/>
      <c r="G824" s="16"/>
      <c r="H824" s="16"/>
      <c r="I824" s="16"/>
      <c r="J824" s="16"/>
      <c r="K824" s="16"/>
      <c r="L824" s="16"/>
      <c r="M824" s="15"/>
      <c r="N824" s="16"/>
      <c r="O824" s="16"/>
      <c r="P824" s="16"/>
      <c r="Q824" s="16"/>
      <c r="R824" s="16"/>
      <c r="S824" s="16"/>
      <c r="T824" s="16"/>
      <c r="U824" s="16"/>
      <c r="V824" s="16"/>
    </row>
    <row r="825" spans="1:22" ht="13.2">
      <c r="A825" s="12"/>
      <c r="B825" s="46"/>
      <c r="C825" s="12"/>
      <c r="D825" s="15"/>
      <c r="E825" s="15"/>
      <c r="F825" s="15"/>
      <c r="G825" s="16"/>
      <c r="H825" s="16"/>
      <c r="I825" s="16"/>
      <c r="J825" s="16"/>
      <c r="K825" s="16"/>
      <c r="L825" s="16"/>
      <c r="M825" s="15"/>
      <c r="N825" s="16"/>
      <c r="O825" s="16"/>
      <c r="P825" s="16"/>
      <c r="Q825" s="16"/>
      <c r="R825" s="16"/>
      <c r="S825" s="16"/>
      <c r="T825" s="16"/>
      <c r="U825" s="16"/>
      <c r="V825" s="16"/>
    </row>
    <row r="826" spans="1:22" ht="13.2">
      <c r="A826" s="12"/>
      <c r="B826" s="46"/>
      <c r="C826" s="12"/>
      <c r="D826" s="15"/>
      <c r="E826" s="15"/>
      <c r="F826" s="15"/>
      <c r="G826" s="16"/>
      <c r="H826" s="16"/>
      <c r="I826" s="16"/>
      <c r="J826" s="16"/>
      <c r="K826" s="16"/>
      <c r="L826" s="16"/>
      <c r="M826" s="15"/>
      <c r="N826" s="16"/>
      <c r="O826" s="16"/>
      <c r="P826" s="16"/>
      <c r="Q826" s="16"/>
      <c r="R826" s="16"/>
      <c r="S826" s="16"/>
      <c r="T826" s="16"/>
      <c r="U826" s="16"/>
      <c r="V826" s="16"/>
    </row>
    <row r="827" spans="1:22" ht="13.2">
      <c r="A827" s="12"/>
      <c r="B827" s="46"/>
      <c r="C827" s="12"/>
      <c r="D827" s="15"/>
      <c r="E827" s="15"/>
      <c r="F827" s="15"/>
      <c r="G827" s="16"/>
      <c r="H827" s="16"/>
      <c r="I827" s="16"/>
      <c r="J827" s="16"/>
      <c r="K827" s="16"/>
      <c r="L827" s="16"/>
      <c r="M827" s="15"/>
      <c r="N827" s="16"/>
      <c r="O827" s="16"/>
      <c r="P827" s="16"/>
      <c r="Q827" s="16"/>
      <c r="R827" s="16"/>
      <c r="S827" s="16"/>
      <c r="T827" s="16"/>
      <c r="U827" s="16"/>
      <c r="V827" s="16"/>
    </row>
    <row r="828" spans="1:22" ht="13.2">
      <c r="A828" s="12"/>
      <c r="B828" s="46"/>
      <c r="C828" s="12"/>
      <c r="D828" s="15"/>
      <c r="E828" s="15"/>
      <c r="F828" s="15"/>
      <c r="G828" s="16"/>
      <c r="H828" s="16"/>
      <c r="I828" s="16"/>
      <c r="J828" s="16"/>
      <c r="K828" s="16"/>
      <c r="L828" s="16"/>
      <c r="M828" s="15"/>
      <c r="N828" s="16"/>
      <c r="O828" s="16"/>
      <c r="P828" s="16"/>
      <c r="Q828" s="16"/>
      <c r="R828" s="16"/>
      <c r="S828" s="16"/>
      <c r="T828" s="16"/>
      <c r="U828" s="16"/>
      <c r="V828" s="16"/>
    </row>
    <row r="829" spans="1:22" ht="13.2">
      <c r="A829" s="12"/>
      <c r="B829" s="46"/>
      <c r="C829" s="12"/>
      <c r="D829" s="15"/>
      <c r="E829" s="15"/>
      <c r="F829" s="15"/>
      <c r="G829" s="16"/>
      <c r="H829" s="16"/>
      <c r="I829" s="16"/>
      <c r="J829" s="16"/>
      <c r="K829" s="16"/>
      <c r="L829" s="16"/>
      <c r="M829" s="15"/>
      <c r="N829" s="16"/>
      <c r="O829" s="16"/>
      <c r="P829" s="16"/>
      <c r="Q829" s="16"/>
      <c r="R829" s="16"/>
      <c r="S829" s="16"/>
      <c r="T829" s="16"/>
      <c r="U829" s="16"/>
      <c r="V829" s="16"/>
    </row>
    <row r="830" spans="1:22" ht="13.2">
      <c r="A830" s="12"/>
      <c r="B830" s="46"/>
      <c r="C830" s="12"/>
      <c r="D830" s="15"/>
      <c r="E830" s="15"/>
      <c r="F830" s="15"/>
      <c r="G830" s="16"/>
      <c r="H830" s="16"/>
      <c r="I830" s="16"/>
      <c r="J830" s="16"/>
      <c r="K830" s="16"/>
      <c r="L830" s="16"/>
      <c r="M830" s="15"/>
      <c r="N830" s="16"/>
      <c r="O830" s="16"/>
      <c r="P830" s="16"/>
      <c r="Q830" s="16"/>
      <c r="R830" s="16"/>
      <c r="S830" s="16"/>
      <c r="T830" s="16"/>
      <c r="U830" s="16"/>
      <c r="V830" s="16"/>
    </row>
    <row r="831" spans="1:22" ht="13.2">
      <c r="A831" s="12"/>
      <c r="B831" s="46"/>
      <c r="C831" s="12"/>
      <c r="D831" s="15"/>
      <c r="E831" s="15"/>
      <c r="F831" s="15"/>
      <c r="G831" s="16"/>
      <c r="H831" s="16"/>
      <c r="I831" s="16"/>
      <c r="J831" s="16"/>
      <c r="K831" s="16"/>
      <c r="L831" s="16"/>
      <c r="M831" s="15"/>
      <c r="N831" s="16"/>
      <c r="O831" s="16"/>
      <c r="P831" s="16"/>
      <c r="Q831" s="16"/>
      <c r="R831" s="16"/>
      <c r="S831" s="16"/>
      <c r="T831" s="16"/>
      <c r="U831" s="16"/>
      <c r="V831" s="16"/>
    </row>
    <row r="832" spans="1:22" ht="13.2">
      <c r="A832" s="12"/>
      <c r="B832" s="46"/>
      <c r="C832" s="12"/>
      <c r="D832" s="15"/>
      <c r="E832" s="15"/>
      <c r="F832" s="15"/>
      <c r="G832" s="16"/>
      <c r="H832" s="16"/>
      <c r="I832" s="16"/>
      <c r="J832" s="16"/>
      <c r="K832" s="16"/>
      <c r="L832" s="16"/>
      <c r="M832" s="15"/>
      <c r="N832" s="16"/>
      <c r="O832" s="16"/>
      <c r="P832" s="16"/>
      <c r="Q832" s="16"/>
      <c r="R832" s="16"/>
      <c r="S832" s="16"/>
      <c r="T832" s="16"/>
      <c r="U832" s="16"/>
      <c r="V832" s="16"/>
    </row>
    <row r="833" spans="1:22" ht="13.2">
      <c r="A833" s="12"/>
      <c r="B833" s="46"/>
      <c r="C833" s="12"/>
      <c r="D833" s="15"/>
      <c r="E833" s="15"/>
      <c r="F833" s="15"/>
      <c r="G833" s="16"/>
      <c r="H833" s="16"/>
      <c r="I833" s="16"/>
      <c r="J833" s="16"/>
      <c r="K833" s="16"/>
      <c r="L833" s="16"/>
      <c r="M833" s="15"/>
      <c r="N833" s="16"/>
      <c r="O833" s="16"/>
      <c r="P833" s="16"/>
      <c r="Q833" s="16"/>
      <c r="R833" s="16"/>
      <c r="S833" s="16"/>
      <c r="T833" s="16"/>
      <c r="U833" s="16"/>
      <c r="V833" s="16"/>
    </row>
    <row r="834" spans="1:22" ht="13.2">
      <c r="A834" s="12"/>
      <c r="B834" s="46"/>
      <c r="C834" s="12"/>
      <c r="D834" s="15"/>
      <c r="E834" s="15"/>
      <c r="F834" s="15"/>
      <c r="G834" s="16"/>
      <c r="H834" s="16"/>
      <c r="I834" s="16"/>
      <c r="J834" s="16"/>
      <c r="K834" s="16"/>
      <c r="L834" s="16"/>
      <c r="M834" s="15"/>
      <c r="N834" s="16"/>
      <c r="O834" s="16"/>
      <c r="P834" s="16"/>
      <c r="Q834" s="16"/>
      <c r="R834" s="16"/>
      <c r="S834" s="16"/>
      <c r="T834" s="16"/>
      <c r="U834" s="16"/>
      <c r="V834" s="16"/>
    </row>
    <row r="835" spans="1:22" ht="13.2">
      <c r="A835" s="12"/>
      <c r="B835" s="46"/>
      <c r="C835" s="12"/>
      <c r="D835" s="15"/>
      <c r="E835" s="15"/>
      <c r="F835" s="15"/>
      <c r="G835" s="16"/>
      <c r="H835" s="16"/>
      <c r="I835" s="16"/>
      <c r="J835" s="16"/>
      <c r="K835" s="16"/>
      <c r="L835" s="16"/>
      <c r="M835" s="15"/>
      <c r="N835" s="16"/>
      <c r="O835" s="16"/>
      <c r="P835" s="16"/>
      <c r="Q835" s="16"/>
      <c r="R835" s="16"/>
      <c r="S835" s="16"/>
      <c r="T835" s="16"/>
      <c r="U835" s="16"/>
      <c r="V835" s="16"/>
    </row>
    <row r="836" spans="1:22" ht="13.2">
      <c r="A836" s="12"/>
      <c r="B836" s="46"/>
      <c r="C836" s="12"/>
      <c r="D836" s="15"/>
      <c r="E836" s="15"/>
      <c r="F836" s="15"/>
      <c r="G836" s="16"/>
      <c r="H836" s="16"/>
      <c r="I836" s="16"/>
      <c r="J836" s="16"/>
      <c r="K836" s="16"/>
      <c r="L836" s="16"/>
      <c r="M836" s="15"/>
      <c r="N836" s="16"/>
      <c r="O836" s="16"/>
      <c r="P836" s="16"/>
      <c r="Q836" s="16"/>
      <c r="R836" s="16"/>
      <c r="S836" s="16"/>
      <c r="T836" s="16"/>
      <c r="U836" s="16"/>
      <c r="V836" s="16"/>
    </row>
    <row r="837" spans="1:22" ht="13.2">
      <c r="A837" s="12"/>
      <c r="B837" s="46"/>
      <c r="C837" s="12"/>
      <c r="D837" s="15"/>
      <c r="E837" s="15"/>
      <c r="F837" s="15"/>
      <c r="G837" s="16"/>
      <c r="H837" s="16"/>
      <c r="I837" s="16"/>
      <c r="J837" s="16"/>
      <c r="K837" s="16"/>
      <c r="L837" s="16"/>
      <c r="M837" s="15"/>
      <c r="N837" s="16"/>
      <c r="O837" s="16"/>
      <c r="P837" s="16"/>
      <c r="Q837" s="16"/>
      <c r="R837" s="16"/>
      <c r="S837" s="16"/>
      <c r="T837" s="16"/>
      <c r="U837" s="16"/>
      <c r="V837" s="16"/>
    </row>
    <row r="838" spans="1:22" ht="13.2">
      <c r="A838" s="12"/>
      <c r="B838" s="46"/>
      <c r="C838" s="12"/>
      <c r="D838" s="15"/>
      <c r="E838" s="15"/>
      <c r="F838" s="15"/>
      <c r="G838" s="16"/>
      <c r="H838" s="16"/>
      <c r="I838" s="16"/>
      <c r="J838" s="16"/>
      <c r="K838" s="16"/>
      <c r="L838" s="16"/>
      <c r="M838" s="15"/>
      <c r="N838" s="16"/>
      <c r="O838" s="16"/>
      <c r="P838" s="16"/>
      <c r="Q838" s="16"/>
      <c r="R838" s="16"/>
      <c r="S838" s="16"/>
      <c r="T838" s="16"/>
      <c r="U838" s="16"/>
      <c r="V838" s="16"/>
    </row>
    <row r="839" spans="1:22" ht="13.2">
      <c r="A839" s="12"/>
      <c r="B839" s="46"/>
      <c r="C839" s="12"/>
      <c r="D839" s="15"/>
      <c r="E839" s="15"/>
      <c r="F839" s="15"/>
      <c r="G839" s="16"/>
      <c r="H839" s="16"/>
      <c r="I839" s="16"/>
      <c r="J839" s="16"/>
      <c r="K839" s="16"/>
      <c r="L839" s="16"/>
      <c r="M839" s="15"/>
      <c r="N839" s="16"/>
      <c r="O839" s="16"/>
      <c r="P839" s="16"/>
      <c r="Q839" s="16"/>
      <c r="R839" s="16"/>
      <c r="S839" s="16"/>
      <c r="T839" s="16"/>
      <c r="U839" s="16"/>
      <c r="V839" s="16"/>
    </row>
    <row r="840" spans="1:22" ht="13.2">
      <c r="A840" s="12"/>
      <c r="B840" s="46"/>
      <c r="C840" s="12"/>
      <c r="D840" s="15"/>
      <c r="E840" s="15"/>
      <c r="F840" s="15"/>
      <c r="G840" s="16"/>
      <c r="H840" s="16"/>
      <c r="I840" s="16"/>
      <c r="J840" s="16"/>
      <c r="K840" s="16"/>
      <c r="L840" s="16"/>
      <c r="M840" s="15"/>
      <c r="N840" s="16"/>
      <c r="O840" s="16"/>
      <c r="P840" s="16"/>
      <c r="Q840" s="16"/>
      <c r="R840" s="16"/>
      <c r="S840" s="16"/>
      <c r="T840" s="16"/>
      <c r="U840" s="16"/>
      <c r="V840" s="16"/>
    </row>
    <row r="841" spans="1:22" ht="13.2">
      <c r="A841" s="12"/>
      <c r="B841" s="46"/>
      <c r="C841" s="12"/>
      <c r="D841" s="15"/>
      <c r="E841" s="15"/>
      <c r="F841" s="15"/>
      <c r="G841" s="16"/>
      <c r="H841" s="16"/>
      <c r="I841" s="16"/>
      <c r="J841" s="16"/>
      <c r="K841" s="16"/>
      <c r="L841" s="16"/>
      <c r="M841" s="15"/>
      <c r="N841" s="16"/>
      <c r="O841" s="16"/>
      <c r="P841" s="16"/>
      <c r="Q841" s="16"/>
      <c r="R841" s="16"/>
      <c r="S841" s="16"/>
      <c r="T841" s="16"/>
      <c r="U841" s="16"/>
      <c r="V841" s="16"/>
    </row>
    <row r="842" spans="1:22" ht="13.2">
      <c r="A842" s="12"/>
      <c r="B842" s="46"/>
      <c r="C842" s="12"/>
      <c r="D842" s="15"/>
      <c r="E842" s="15"/>
      <c r="F842" s="15"/>
      <c r="G842" s="16"/>
      <c r="H842" s="16"/>
      <c r="I842" s="16"/>
      <c r="J842" s="16"/>
      <c r="K842" s="16"/>
      <c r="L842" s="16"/>
      <c r="M842" s="15"/>
      <c r="N842" s="16"/>
      <c r="O842" s="16"/>
      <c r="P842" s="16"/>
      <c r="Q842" s="16"/>
      <c r="R842" s="16"/>
      <c r="S842" s="16"/>
      <c r="T842" s="16"/>
      <c r="U842" s="16"/>
      <c r="V842" s="16"/>
    </row>
    <row r="843" spans="1:22" ht="13.2">
      <c r="A843" s="12"/>
      <c r="B843" s="46"/>
      <c r="C843" s="12"/>
      <c r="D843" s="15"/>
      <c r="E843" s="15"/>
      <c r="F843" s="15"/>
      <c r="G843" s="16"/>
      <c r="H843" s="16"/>
      <c r="I843" s="16"/>
      <c r="J843" s="16"/>
      <c r="K843" s="16"/>
      <c r="L843" s="16"/>
      <c r="M843" s="15"/>
      <c r="N843" s="16"/>
      <c r="O843" s="16"/>
      <c r="P843" s="16"/>
      <c r="Q843" s="16"/>
      <c r="R843" s="16"/>
      <c r="S843" s="16"/>
      <c r="T843" s="16"/>
      <c r="U843" s="16"/>
      <c r="V843" s="16"/>
    </row>
    <row r="844" spans="1:22" ht="13.2">
      <c r="A844" s="12"/>
      <c r="B844" s="46"/>
      <c r="C844" s="12"/>
      <c r="D844" s="15"/>
      <c r="E844" s="15"/>
      <c r="F844" s="15"/>
      <c r="G844" s="16"/>
      <c r="H844" s="16"/>
      <c r="I844" s="16"/>
      <c r="J844" s="16"/>
      <c r="K844" s="16"/>
      <c r="L844" s="16"/>
      <c r="M844" s="15"/>
      <c r="N844" s="16"/>
      <c r="O844" s="16"/>
      <c r="P844" s="16"/>
      <c r="Q844" s="16"/>
      <c r="R844" s="16"/>
      <c r="S844" s="16"/>
      <c r="T844" s="16"/>
      <c r="U844" s="16"/>
      <c r="V844" s="16"/>
    </row>
    <row r="845" spans="1:22" ht="13.2">
      <c r="A845" s="12"/>
      <c r="B845" s="46"/>
      <c r="C845" s="12"/>
      <c r="D845" s="15"/>
      <c r="E845" s="15"/>
      <c r="F845" s="15"/>
      <c r="G845" s="16"/>
      <c r="H845" s="16"/>
      <c r="I845" s="16"/>
      <c r="J845" s="16"/>
      <c r="K845" s="16"/>
      <c r="L845" s="16"/>
      <c r="M845" s="15"/>
      <c r="N845" s="16"/>
      <c r="O845" s="16"/>
      <c r="P845" s="16"/>
      <c r="Q845" s="16"/>
      <c r="R845" s="16"/>
      <c r="S845" s="16"/>
      <c r="T845" s="16"/>
      <c r="U845" s="16"/>
      <c r="V845" s="16"/>
    </row>
    <row r="846" spans="1:22" ht="13.2">
      <c r="A846" s="12"/>
      <c r="B846" s="46"/>
      <c r="C846" s="12"/>
      <c r="D846" s="15"/>
      <c r="E846" s="15"/>
      <c r="F846" s="15"/>
      <c r="G846" s="16"/>
      <c r="H846" s="16"/>
      <c r="I846" s="16"/>
      <c r="J846" s="16"/>
      <c r="K846" s="16"/>
      <c r="L846" s="16"/>
      <c r="M846" s="15"/>
      <c r="N846" s="16"/>
      <c r="O846" s="16"/>
      <c r="P846" s="16"/>
      <c r="Q846" s="16"/>
      <c r="R846" s="16"/>
      <c r="S846" s="16"/>
      <c r="T846" s="16"/>
      <c r="U846" s="16"/>
      <c r="V846" s="16"/>
    </row>
    <row r="847" spans="1:22" ht="13.2">
      <c r="A847" s="12"/>
      <c r="B847" s="46"/>
      <c r="C847" s="12"/>
      <c r="D847" s="15"/>
      <c r="E847" s="15"/>
      <c r="F847" s="15"/>
      <c r="G847" s="16"/>
      <c r="H847" s="16"/>
      <c r="I847" s="16"/>
      <c r="J847" s="16"/>
      <c r="K847" s="16"/>
      <c r="L847" s="16"/>
      <c r="M847" s="15"/>
      <c r="N847" s="16"/>
      <c r="O847" s="16"/>
      <c r="P847" s="16"/>
      <c r="Q847" s="16"/>
      <c r="R847" s="16"/>
      <c r="S847" s="16"/>
      <c r="T847" s="16"/>
      <c r="U847" s="16"/>
      <c r="V847" s="16"/>
    </row>
    <row r="848" spans="1:22" ht="13.2">
      <c r="A848" s="12"/>
      <c r="B848" s="46"/>
      <c r="C848" s="12"/>
      <c r="D848" s="15"/>
      <c r="E848" s="15"/>
      <c r="F848" s="15"/>
      <c r="G848" s="16"/>
      <c r="H848" s="16"/>
      <c r="I848" s="16"/>
      <c r="J848" s="16"/>
      <c r="K848" s="16"/>
      <c r="L848" s="16"/>
      <c r="M848" s="15"/>
      <c r="N848" s="16"/>
      <c r="O848" s="16"/>
      <c r="P848" s="16"/>
      <c r="Q848" s="16"/>
      <c r="R848" s="16"/>
      <c r="S848" s="16"/>
      <c r="T848" s="16"/>
      <c r="U848" s="16"/>
      <c r="V848" s="16"/>
    </row>
    <row r="849" spans="1:22" ht="13.2">
      <c r="A849" s="12"/>
      <c r="B849" s="46"/>
      <c r="C849" s="12"/>
      <c r="D849" s="15"/>
      <c r="E849" s="15"/>
      <c r="F849" s="15"/>
      <c r="G849" s="16"/>
      <c r="H849" s="16"/>
      <c r="I849" s="16"/>
      <c r="J849" s="16"/>
      <c r="K849" s="16"/>
      <c r="L849" s="16"/>
      <c r="M849" s="15"/>
      <c r="N849" s="16"/>
      <c r="O849" s="16"/>
      <c r="P849" s="16"/>
      <c r="Q849" s="16"/>
      <c r="R849" s="16"/>
      <c r="S849" s="16"/>
      <c r="T849" s="16"/>
      <c r="U849" s="16"/>
      <c r="V849" s="16"/>
    </row>
    <row r="850" spans="1:22" ht="13.2">
      <c r="A850" s="12"/>
      <c r="B850" s="46"/>
      <c r="C850" s="12"/>
      <c r="D850" s="15"/>
      <c r="E850" s="15"/>
      <c r="F850" s="15"/>
      <c r="G850" s="16"/>
      <c r="H850" s="16"/>
      <c r="I850" s="16"/>
      <c r="J850" s="16"/>
      <c r="K850" s="16"/>
      <c r="L850" s="16"/>
      <c r="M850" s="15"/>
      <c r="N850" s="16"/>
      <c r="O850" s="16"/>
      <c r="P850" s="16"/>
      <c r="Q850" s="16"/>
      <c r="R850" s="16"/>
      <c r="S850" s="16"/>
      <c r="T850" s="16"/>
      <c r="U850" s="16"/>
      <c r="V850" s="16"/>
    </row>
    <row r="851" spans="1:22" ht="13.2">
      <c r="A851" s="12"/>
      <c r="B851" s="46"/>
      <c r="C851" s="12"/>
      <c r="D851" s="15"/>
      <c r="E851" s="15"/>
      <c r="F851" s="15"/>
      <c r="G851" s="16"/>
      <c r="H851" s="16"/>
      <c r="I851" s="16"/>
      <c r="J851" s="16"/>
      <c r="K851" s="16"/>
      <c r="L851" s="16"/>
      <c r="M851" s="15"/>
      <c r="N851" s="16"/>
      <c r="O851" s="16"/>
      <c r="P851" s="16"/>
      <c r="Q851" s="16"/>
      <c r="R851" s="16"/>
      <c r="S851" s="16"/>
      <c r="T851" s="16"/>
      <c r="U851" s="16"/>
      <c r="V851" s="16"/>
    </row>
    <row r="852" spans="1:22" ht="13.2">
      <c r="A852" s="12"/>
      <c r="B852" s="46"/>
      <c r="C852" s="12"/>
      <c r="D852" s="15"/>
      <c r="E852" s="15"/>
      <c r="F852" s="15"/>
      <c r="G852" s="16"/>
      <c r="H852" s="16"/>
      <c r="I852" s="16"/>
      <c r="J852" s="16"/>
      <c r="K852" s="16"/>
      <c r="L852" s="16"/>
      <c r="M852" s="15"/>
      <c r="N852" s="16"/>
      <c r="O852" s="16"/>
      <c r="P852" s="16"/>
      <c r="Q852" s="16"/>
      <c r="R852" s="16"/>
      <c r="S852" s="16"/>
      <c r="T852" s="16"/>
      <c r="U852" s="16"/>
      <c r="V852" s="16"/>
    </row>
    <row r="853" spans="1:22" ht="13.2">
      <c r="A853" s="12"/>
      <c r="B853" s="46"/>
      <c r="C853" s="12"/>
      <c r="D853" s="15"/>
      <c r="E853" s="15"/>
      <c r="F853" s="15"/>
      <c r="G853" s="16"/>
      <c r="H853" s="16"/>
      <c r="I853" s="16"/>
      <c r="J853" s="16"/>
      <c r="K853" s="16"/>
      <c r="L853" s="16"/>
      <c r="M853" s="15"/>
      <c r="N853" s="16"/>
      <c r="O853" s="16"/>
      <c r="P853" s="16"/>
      <c r="Q853" s="16"/>
      <c r="R853" s="16"/>
      <c r="S853" s="16"/>
      <c r="T853" s="16"/>
      <c r="U853" s="16"/>
      <c r="V853" s="16"/>
    </row>
    <row r="854" spans="1:22" ht="13.2">
      <c r="A854" s="12"/>
      <c r="B854" s="46"/>
      <c r="C854" s="12"/>
      <c r="D854" s="15"/>
      <c r="E854" s="15"/>
      <c r="F854" s="15"/>
      <c r="G854" s="16"/>
      <c r="H854" s="16"/>
      <c r="I854" s="16"/>
      <c r="J854" s="16"/>
      <c r="K854" s="16"/>
      <c r="L854" s="16"/>
      <c r="M854" s="15"/>
      <c r="N854" s="16"/>
      <c r="O854" s="16"/>
      <c r="P854" s="16"/>
      <c r="Q854" s="16"/>
      <c r="R854" s="16"/>
      <c r="S854" s="16"/>
      <c r="T854" s="16"/>
      <c r="U854" s="16"/>
      <c r="V854" s="16"/>
    </row>
    <row r="855" spans="1:22" ht="13.2">
      <c r="A855" s="12"/>
      <c r="B855" s="46"/>
      <c r="C855" s="12"/>
      <c r="D855" s="15"/>
      <c r="E855" s="15"/>
      <c r="F855" s="15"/>
      <c r="G855" s="16"/>
      <c r="H855" s="16"/>
      <c r="I855" s="16"/>
      <c r="J855" s="16"/>
      <c r="K855" s="16"/>
      <c r="L855" s="16"/>
      <c r="M855" s="15"/>
      <c r="N855" s="16"/>
      <c r="O855" s="16"/>
      <c r="P855" s="16"/>
      <c r="Q855" s="16"/>
      <c r="R855" s="16"/>
      <c r="S855" s="16"/>
      <c r="T855" s="16"/>
      <c r="U855" s="16"/>
      <c r="V855" s="16"/>
    </row>
    <row r="856" spans="1:22" ht="13.2">
      <c r="A856" s="12"/>
      <c r="B856" s="46"/>
      <c r="C856" s="12"/>
      <c r="D856" s="15"/>
      <c r="E856" s="15"/>
      <c r="F856" s="15"/>
      <c r="G856" s="16"/>
      <c r="H856" s="16"/>
      <c r="I856" s="16"/>
      <c r="J856" s="16"/>
      <c r="K856" s="16"/>
      <c r="L856" s="16"/>
      <c r="M856" s="15"/>
      <c r="N856" s="16"/>
      <c r="O856" s="16"/>
      <c r="P856" s="16"/>
      <c r="Q856" s="16"/>
      <c r="R856" s="16"/>
      <c r="S856" s="16"/>
      <c r="T856" s="16"/>
      <c r="U856" s="16"/>
      <c r="V856" s="16"/>
    </row>
    <row r="857" spans="1:22" ht="13.2">
      <c r="A857" s="12"/>
      <c r="B857" s="46"/>
      <c r="C857" s="12"/>
      <c r="D857" s="15"/>
      <c r="E857" s="15"/>
      <c r="F857" s="15"/>
      <c r="G857" s="16"/>
      <c r="H857" s="16"/>
      <c r="I857" s="16"/>
      <c r="J857" s="16"/>
      <c r="K857" s="16"/>
      <c r="L857" s="16"/>
      <c r="M857" s="15"/>
      <c r="N857" s="16"/>
      <c r="O857" s="16"/>
      <c r="P857" s="16"/>
      <c r="Q857" s="16"/>
      <c r="R857" s="16"/>
      <c r="S857" s="16"/>
      <c r="T857" s="16"/>
      <c r="U857" s="16"/>
      <c r="V857" s="16"/>
    </row>
    <row r="858" spans="1:22" ht="13.2">
      <c r="A858" s="12"/>
      <c r="B858" s="46"/>
      <c r="C858" s="12"/>
      <c r="D858" s="15"/>
      <c r="E858" s="15"/>
      <c r="F858" s="15"/>
      <c r="G858" s="16"/>
      <c r="H858" s="16"/>
      <c r="I858" s="16"/>
      <c r="J858" s="16"/>
      <c r="K858" s="16"/>
      <c r="L858" s="16"/>
      <c r="M858" s="15"/>
      <c r="N858" s="16"/>
      <c r="O858" s="16"/>
      <c r="P858" s="16"/>
      <c r="Q858" s="16"/>
      <c r="R858" s="16"/>
      <c r="S858" s="16"/>
      <c r="T858" s="16"/>
      <c r="U858" s="16"/>
      <c r="V858" s="16"/>
    </row>
    <row r="859" spans="1:22" ht="13.2">
      <c r="A859" s="12"/>
      <c r="B859" s="46"/>
      <c r="C859" s="12"/>
      <c r="D859" s="15"/>
      <c r="E859" s="15"/>
      <c r="F859" s="15"/>
      <c r="G859" s="16"/>
      <c r="H859" s="16"/>
      <c r="I859" s="16"/>
      <c r="J859" s="16"/>
      <c r="K859" s="16"/>
      <c r="L859" s="16"/>
      <c r="M859" s="15"/>
      <c r="N859" s="16"/>
      <c r="O859" s="16"/>
      <c r="P859" s="16"/>
      <c r="Q859" s="16"/>
      <c r="R859" s="16"/>
      <c r="S859" s="16"/>
      <c r="T859" s="16"/>
      <c r="U859" s="16"/>
      <c r="V859" s="16"/>
    </row>
    <row r="860" spans="1:22" ht="13.2">
      <c r="A860" s="12"/>
      <c r="B860" s="46"/>
      <c r="C860" s="12"/>
      <c r="D860" s="15"/>
      <c r="E860" s="15"/>
      <c r="F860" s="15"/>
      <c r="G860" s="16"/>
      <c r="H860" s="16"/>
      <c r="I860" s="16"/>
      <c r="J860" s="16"/>
      <c r="K860" s="16"/>
      <c r="L860" s="16"/>
      <c r="M860" s="15"/>
      <c r="N860" s="16"/>
      <c r="O860" s="16"/>
      <c r="P860" s="16"/>
      <c r="Q860" s="16"/>
      <c r="R860" s="16"/>
      <c r="S860" s="16"/>
      <c r="T860" s="16"/>
      <c r="U860" s="16"/>
      <c r="V860" s="16"/>
    </row>
    <row r="861" spans="1:22" ht="13.2">
      <c r="A861" s="12"/>
      <c r="B861" s="46"/>
      <c r="C861" s="12"/>
      <c r="D861" s="15"/>
      <c r="E861" s="15"/>
      <c r="F861" s="15"/>
      <c r="G861" s="16"/>
      <c r="H861" s="16"/>
      <c r="I861" s="16"/>
      <c r="J861" s="16"/>
      <c r="K861" s="16"/>
      <c r="L861" s="16"/>
      <c r="M861" s="15"/>
      <c r="N861" s="16"/>
      <c r="O861" s="16"/>
      <c r="P861" s="16"/>
      <c r="Q861" s="16"/>
      <c r="R861" s="16"/>
      <c r="S861" s="16"/>
      <c r="T861" s="16"/>
      <c r="U861" s="16"/>
      <c r="V861" s="16"/>
    </row>
    <row r="862" spans="1:22" ht="13.2">
      <c r="A862" s="12"/>
      <c r="B862" s="46"/>
      <c r="C862" s="12"/>
      <c r="D862" s="15"/>
      <c r="E862" s="15"/>
      <c r="F862" s="15"/>
      <c r="G862" s="16"/>
      <c r="H862" s="16"/>
      <c r="I862" s="16"/>
      <c r="J862" s="16"/>
      <c r="K862" s="16"/>
      <c r="L862" s="16"/>
      <c r="M862" s="15"/>
      <c r="N862" s="16"/>
      <c r="O862" s="16"/>
      <c r="P862" s="16"/>
      <c r="Q862" s="16"/>
      <c r="R862" s="16"/>
      <c r="S862" s="16"/>
      <c r="T862" s="16"/>
      <c r="U862" s="16"/>
      <c r="V862" s="16"/>
    </row>
    <row r="863" spans="1:22" ht="13.2">
      <c r="A863" s="12"/>
      <c r="B863" s="46"/>
      <c r="C863" s="12"/>
      <c r="D863" s="15"/>
      <c r="E863" s="15"/>
      <c r="F863" s="15"/>
      <c r="G863" s="16"/>
      <c r="H863" s="16"/>
      <c r="I863" s="16"/>
      <c r="J863" s="16"/>
      <c r="K863" s="16"/>
      <c r="L863" s="16"/>
      <c r="M863" s="15"/>
      <c r="N863" s="16"/>
      <c r="O863" s="16"/>
      <c r="P863" s="16"/>
      <c r="Q863" s="16"/>
      <c r="R863" s="16"/>
      <c r="S863" s="16"/>
      <c r="T863" s="16"/>
      <c r="U863" s="16"/>
      <c r="V863" s="16"/>
    </row>
    <row r="864" spans="1:22" ht="13.2">
      <c r="A864" s="12"/>
      <c r="B864" s="46"/>
      <c r="C864" s="12"/>
      <c r="D864" s="15"/>
      <c r="E864" s="15"/>
      <c r="F864" s="15"/>
      <c r="G864" s="16"/>
      <c r="H864" s="16"/>
      <c r="I864" s="16"/>
      <c r="J864" s="16"/>
      <c r="K864" s="16"/>
      <c r="L864" s="16"/>
      <c r="M864" s="15"/>
      <c r="N864" s="16"/>
      <c r="O864" s="16"/>
      <c r="P864" s="16"/>
      <c r="Q864" s="16"/>
      <c r="R864" s="16"/>
      <c r="S864" s="16"/>
      <c r="T864" s="16"/>
      <c r="U864" s="16"/>
      <c r="V864" s="16"/>
    </row>
    <row r="865" spans="1:22" ht="13.2">
      <c r="A865" s="12"/>
      <c r="B865" s="46"/>
      <c r="C865" s="12"/>
      <c r="D865" s="15"/>
      <c r="E865" s="15"/>
      <c r="F865" s="15"/>
      <c r="G865" s="16"/>
      <c r="H865" s="16"/>
      <c r="I865" s="16"/>
      <c r="J865" s="16"/>
      <c r="K865" s="16"/>
      <c r="L865" s="16"/>
      <c r="M865" s="15"/>
      <c r="N865" s="16"/>
      <c r="O865" s="16"/>
      <c r="P865" s="16"/>
      <c r="Q865" s="16"/>
      <c r="R865" s="16"/>
      <c r="S865" s="16"/>
      <c r="T865" s="16"/>
      <c r="U865" s="16"/>
      <c r="V865" s="16"/>
    </row>
    <row r="866" spans="1:22" ht="13.2">
      <c r="A866" s="12"/>
      <c r="B866" s="46"/>
      <c r="C866" s="12"/>
      <c r="D866" s="15"/>
      <c r="E866" s="15"/>
      <c r="F866" s="15"/>
      <c r="G866" s="16"/>
      <c r="H866" s="16"/>
      <c r="I866" s="16"/>
      <c r="J866" s="16"/>
      <c r="K866" s="16"/>
      <c r="L866" s="16"/>
      <c r="M866" s="15"/>
      <c r="N866" s="16"/>
      <c r="O866" s="16"/>
      <c r="P866" s="16"/>
      <c r="Q866" s="16"/>
      <c r="R866" s="16"/>
      <c r="S866" s="16"/>
      <c r="T866" s="16"/>
      <c r="U866" s="16"/>
      <c r="V866" s="16"/>
    </row>
    <row r="867" spans="1:22" ht="13.2">
      <c r="A867" s="12"/>
      <c r="B867" s="46"/>
      <c r="C867" s="12"/>
      <c r="D867" s="15"/>
      <c r="E867" s="15"/>
      <c r="F867" s="15"/>
      <c r="G867" s="16"/>
      <c r="H867" s="16"/>
      <c r="I867" s="16"/>
      <c r="J867" s="16"/>
      <c r="K867" s="16"/>
      <c r="L867" s="16"/>
      <c r="M867" s="15"/>
      <c r="N867" s="16"/>
      <c r="O867" s="16"/>
      <c r="P867" s="16"/>
      <c r="Q867" s="16"/>
      <c r="R867" s="16"/>
      <c r="S867" s="16"/>
      <c r="T867" s="16"/>
      <c r="U867" s="16"/>
      <c r="V867" s="16"/>
    </row>
    <row r="868" spans="1:22" ht="13.2">
      <c r="A868" s="12"/>
      <c r="B868" s="46"/>
      <c r="C868" s="12"/>
      <c r="D868" s="15"/>
      <c r="E868" s="15"/>
      <c r="F868" s="15"/>
      <c r="G868" s="16"/>
      <c r="H868" s="16"/>
      <c r="I868" s="16"/>
      <c r="J868" s="16"/>
      <c r="K868" s="16"/>
      <c r="L868" s="16"/>
      <c r="M868" s="15"/>
      <c r="N868" s="16"/>
      <c r="O868" s="16"/>
      <c r="P868" s="16"/>
      <c r="Q868" s="16"/>
      <c r="R868" s="16"/>
      <c r="S868" s="16"/>
      <c r="T868" s="16"/>
      <c r="U868" s="16"/>
      <c r="V868" s="16"/>
    </row>
    <row r="869" spans="1:22" ht="13.2">
      <c r="A869" s="12"/>
      <c r="B869" s="46"/>
      <c r="C869" s="12"/>
      <c r="D869" s="15"/>
      <c r="E869" s="15"/>
      <c r="F869" s="15"/>
      <c r="G869" s="16"/>
      <c r="H869" s="16"/>
      <c r="I869" s="16"/>
      <c r="J869" s="16"/>
      <c r="K869" s="16"/>
      <c r="L869" s="16"/>
      <c r="M869" s="15"/>
      <c r="N869" s="16"/>
      <c r="O869" s="16"/>
      <c r="P869" s="16"/>
      <c r="Q869" s="16"/>
      <c r="R869" s="16"/>
      <c r="S869" s="16"/>
      <c r="T869" s="16"/>
      <c r="U869" s="16"/>
      <c r="V869" s="16"/>
    </row>
    <row r="870" spans="1:22" ht="13.2">
      <c r="A870" s="12"/>
      <c r="B870" s="46"/>
      <c r="C870" s="12"/>
      <c r="D870" s="15"/>
      <c r="E870" s="15"/>
      <c r="F870" s="15"/>
      <c r="G870" s="16"/>
      <c r="H870" s="16"/>
      <c r="I870" s="16"/>
      <c r="J870" s="16"/>
      <c r="K870" s="16"/>
      <c r="L870" s="16"/>
      <c r="M870" s="15"/>
      <c r="N870" s="16"/>
      <c r="O870" s="16"/>
      <c r="P870" s="16"/>
      <c r="Q870" s="16"/>
      <c r="R870" s="16"/>
      <c r="S870" s="16"/>
      <c r="T870" s="16"/>
      <c r="U870" s="16"/>
      <c r="V870" s="16"/>
    </row>
    <row r="871" spans="1:22" ht="13.2">
      <c r="A871" s="12"/>
      <c r="B871" s="46"/>
      <c r="C871" s="12"/>
      <c r="D871" s="15"/>
      <c r="E871" s="15"/>
      <c r="F871" s="15"/>
      <c r="G871" s="16"/>
      <c r="H871" s="16"/>
      <c r="I871" s="16"/>
      <c r="J871" s="16"/>
      <c r="K871" s="16"/>
      <c r="L871" s="16"/>
      <c r="M871" s="15"/>
      <c r="N871" s="16"/>
      <c r="O871" s="16"/>
      <c r="P871" s="16"/>
      <c r="Q871" s="16"/>
      <c r="R871" s="16"/>
      <c r="S871" s="16"/>
      <c r="T871" s="16"/>
      <c r="U871" s="16"/>
      <c r="V871" s="16"/>
    </row>
    <row r="872" spans="1:22" ht="13.2">
      <c r="A872" s="12"/>
      <c r="B872" s="46"/>
      <c r="C872" s="12"/>
      <c r="D872" s="15"/>
      <c r="E872" s="15"/>
      <c r="F872" s="15"/>
      <c r="G872" s="16"/>
      <c r="H872" s="16"/>
      <c r="I872" s="16"/>
      <c r="J872" s="16"/>
      <c r="K872" s="16"/>
      <c r="L872" s="16"/>
      <c r="M872" s="15"/>
      <c r="N872" s="16"/>
      <c r="O872" s="16"/>
      <c r="P872" s="16"/>
      <c r="Q872" s="16"/>
      <c r="R872" s="16"/>
      <c r="S872" s="16"/>
      <c r="T872" s="16"/>
      <c r="U872" s="16"/>
      <c r="V872" s="16"/>
    </row>
    <row r="873" spans="1:22" ht="13.2">
      <c r="A873" s="12"/>
      <c r="B873" s="46"/>
      <c r="C873" s="12"/>
      <c r="D873" s="15"/>
      <c r="E873" s="15"/>
      <c r="F873" s="15"/>
      <c r="G873" s="16"/>
      <c r="H873" s="16"/>
      <c r="I873" s="16"/>
      <c r="J873" s="16"/>
      <c r="K873" s="16"/>
      <c r="L873" s="16"/>
      <c r="M873" s="15"/>
      <c r="N873" s="16"/>
      <c r="O873" s="16"/>
      <c r="P873" s="16"/>
      <c r="Q873" s="16"/>
      <c r="R873" s="16"/>
      <c r="S873" s="16"/>
      <c r="T873" s="16"/>
      <c r="U873" s="16"/>
      <c r="V873" s="16"/>
    </row>
    <row r="874" spans="1:22" ht="13.2">
      <c r="A874" s="12"/>
      <c r="B874" s="46"/>
      <c r="C874" s="12"/>
      <c r="D874" s="15"/>
      <c r="E874" s="15"/>
      <c r="F874" s="15"/>
      <c r="G874" s="16"/>
      <c r="H874" s="16"/>
      <c r="I874" s="16"/>
      <c r="J874" s="16"/>
      <c r="K874" s="16"/>
      <c r="L874" s="16"/>
      <c r="M874" s="15"/>
      <c r="N874" s="16"/>
      <c r="O874" s="16"/>
      <c r="P874" s="16"/>
      <c r="Q874" s="16"/>
      <c r="R874" s="16"/>
      <c r="S874" s="16"/>
      <c r="T874" s="16"/>
      <c r="U874" s="16"/>
      <c r="V874" s="16"/>
    </row>
    <row r="875" spans="1:22" ht="13.2">
      <c r="A875" s="12"/>
      <c r="B875" s="46"/>
      <c r="C875" s="12"/>
      <c r="D875" s="15"/>
      <c r="E875" s="15"/>
      <c r="F875" s="15"/>
      <c r="G875" s="16"/>
      <c r="H875" s="16"/>
      <c r="I875" s="16"/>
      <c r="J875" s="16"/>
      <c r="K875" s="16"/>
      <c r="L875" s="16"/>
      <c r="M875" s="15"/>
      <c r="N875" s="16"/>
      <c r="O875" s="16"/>
      <c r="P875" s="16"/>
      <c r="Q875" s="16"/>
      <c r="R875" s="16"/>
      <c r="S875" s="16"/>
      <c r="T875" s="16"/>
      <c r="U875" s="16"/>
      <c r="V875" s="16"/>
    </row>
    <row r="876" spans="1:22" ht="13.2">
      <c r="A876" s="12"/>
      <c r="B876" s="46"/>
      <c r="C876" s="12"/>
      <c r="D876" s="15"/>
      <c r="E876" s="15"/>
      <c r="F876" s="15"/>
      <c r="G876" s="16"/>
      <c r="H876" s="16"/>
      <c r="I876" s="16"/>
      <c r="J876" s="16"/>
      <c r="K876" s="16"/>
      <c r="L876" s="16"/>
      <c r="M876" s="15"/>
      <c r="N876" s="16"/>
      <c r="O876" s="16"/>
      <c r="P876" s="16"/>
      <c r="Q876" s="16"/>
      <c r="R876" s="16"/>
      <c r="S876" s="16"/>
      <c r="T876" s="16"/>
      <c r="U876" s="16"/>
      <c r="V876" s="16"/>
    </row>
    <row r="877" spans="1:22" ht="13.2">
      <c r="A877" s="12"/>
      <c r="B877" s="46"/>
      <c r="C877" s="12"/>
      <c r="D877" s="15"/>
      <c r="E877" s="15"/>
      <c r="F877" s="15"/>
      <c r="G877" s="16"/>
      <c r="H877" s="16"/>
      <c r="I877" s="16"/>
      <c r="J877" s="16"/>
      <c r="K877" s="16"/>
      <c r="L877" s="16"/>
      <c r="M877" s="15"/>
      <c r="N877" s="16"/>
      <c r="O877" s="16"/>
      <c r="P877" s="16"/>
      <c r="Q877" s="16"/>
      <c r="R877" s="16"/>
      <c r="S877" s="16"/>
      <c r="T877" s="16"/>
      <c r="U877" s="16"/>
      <c r="V877" s="16"/>
    </row>
    <row r="878" spans="1:22" ht="13.2">
      <c r="A878" s="12"/>
      <c r="B878" s="46"/>
      <c r="C878" s="12"/>
      <c r="D878" s="15"/>
      <c r="E878" s="15"/>
      <c r="F878" s="15"/>
      <c r="G878" s="16"/>
      <c r="H878" s="16"/>
      <c r="I878" s="16"/>
      <c r="J878" s="16"/>
      <c r="K878" s="16"/>
      <c r="L878" s="16"/>
      <c r="M878" s="15"/>
      <c r="N878" s="16"/>
      <c r="O878" s="16"/>
      <c r="P878" s="16"/>
      <c r="Q878" s="16"/>
      <c r="R878" s="16"/>
      <c r="S878" s="16"/>
      <c r="T878" s="16"/>
      <c r="U878" s="16"/>
      <c r="V878" s="16"/>
    </row>
    <row r="879" spans="1:22" ht="13.2">
      <c r="A879" s="12"/>
      <c r="B879" s="46"/>
      <c r="C879" s="12"/>
      <c r="D879" s="15"/>
      <c r="E879" s="15"/>
      <c r="F879" s="15"/>
      <c r="G879" s="16"/>
      <c r="H879" s="16"/>
      <c r="I879" s="16"/>
      <c r="J879" s="16"/>
      <c r="K879" s="16"/>
      <c r="L879" s="16"/>
      <c r="M879" s="15"/>
      <c r="N879" s="16"/>
      <c r="O879" s="16"/>
      <c r="P879" s="16"/>
      <c r="Q879" s="16"/>
      <c r="R879" s="16"/>
      <c r="S879" s="16"/>
      <c r="T879" s="16"/>
      <c r="U879" s="16"/>
      <c r="V879" s="16"/>
    </row>
    <row r="880" spans="1:22" ht="13.2">
      <c r="A880" s="12"/>
      <c r="B880" s="46"/>
      <c r="C880" s="12"/>
      <c r="D880" s="15"/>
      <c r="E880" s="15"/>
      <c r="F880" s="15"/>
      <c r="G880" s="16"/>
      <c r="H880" s="16"/>
      <c r="I880" s="16"/>
      <c r="J880" s="16"/>
      <c r="K880" s="16"/>
      <c r="L880" s="16"/>
      <c r="M880" s="15"/>
      <c r="N880" s="16"/>
      <c r="O880" s="16"/>
      <c r="P880" s="16"/>
      <c r="Q880" s="16"/>
      <c r="R880" s="16"/>
      <c r="S880" s="16"/>
      <c r="T880" s="16"/>
      <c r="U880" s="16"/>
      <c r="V880" s="16"/>
    </row>
    <row r="881" spans="1:22" ht="13.2">
      <c r="A881" s="12"/>
      <c r="B881" s="46"/>
      <c r="C881" s="12"/>
      <c r="D881" s="15"/>
      <c r="E881" s="15"/>
      <c r="F881" s="15"/>
      <c r="G881" s="16"/>
      <c r="H881" s="16"/>
      <c r="I881" s="16"/>
      <c r="J881" s="16"/>
      <c r="K881" s="16"/>
      <c r="L881" s="16"/>
      <c r="M881" s="15"/>
      <c r="N881" s="16"/>
      <c r="O881" s="16"/>
      <c r="P881" s="16"/>
      <c r="Q881" s="16"/>
      <c r="R881" s="16"/>
      <c r="S881" s="16"/>
      <c r="T881" s="16"/>
      <c r="U881" s="16"/>
      <c r="V881" s="16"/>
    </row>
    <row r="882" spans="1:22" ht="13.2">
      <c r="A882" s="12"/>
      <c r="B882" s="46"/>
      <c r="C882" s="12"/>
      <c r="D882" s="15"/>
      <c r="E882" s="15"/>
      <c r="F882" s="15"/>
      <c r="G882" s="16"/>
      <c r="H882" s="16"/>
      <c r="I882" s="16"/>
      <c r="J882" s="16"/>
      <c r="K882" s="16"/>
      <c r="L882" s="16"/>
      <c r="M882" s="15"/>
      <c r="N882" s="16"/>
      <c r="O882" s="16"/>
      <c r="P882" s="16"/>
      <c r="Q882" s="16"/>
      <c r="R882" s="16"/>
      <c r="S882" s="16"/>
      <c r="T882" s="16"/>
      <c r="U882" s="16"/>
      <c r="V882" s="16"/>
    </row>
    <row r="883" spans="1:22" ht="13.2">
      <c r="A883" s="12"/>
      <c r="B883" s="46"/>
      <c r="C883" s="12"/>
      <c r="D883" s="15"/>
      <c r="E883" s="15"/>
      <c r="F883" s="15"/>
      <c r="G883" s="16"/>
      <c r="H883" s="16"/>
      <c r="I883" s="16"/>
      <c r="J883" s="16"/>
      <c r="K883" s="16"/>
      <c r="L883" s="16"/>
      <c r="M883" s="15"/>
      <c r="N883" s="16"/>
      <c r="O883" s="16"/>
      <c r="P883" s="16"/>
      <c r="Q883" s="16"/>
      <c r="R883" s="16"/>
      <c r="S883" s="16"/>
      <c r="T883" s="16"/>
      <c r="U883" s="16"/>
      <c r="V883" s="16"/>
    </row>
    <row r="884" spans="1:22" ht="13.2">
      <c r="A884" s="12"/>
      <c r="B884" s="46"/>
      <c r="C884" s="12"/>
      <c r="D884" s="15"/>
      <c r="E884" s="15"/>
      <c r="F884" s="15"/>
      <c r="G884" s="16"/>
      <c r="H884" s="16"/>
      <c r="I884" s="16"/>
      <c r="J884" s="16"/>
      <c r="K884" s="16"/>
      <c r="L884" s="16"/>
      <c r="M884" s="15"/>
      <c r="N884" s="16"/>
      <c r="O884" s="16"/>
      <c r="P884" s="16"/>
      <c r="Q884" s="16"/>
      <c r="R884" s="16"/>
      <c r="S884" s="16"/>
      <c r="T884" s="16"/>
      <c r="U884" s="16"/>
      <c r="V884" s="16"/>
    </row>
    <row r="885" spans="1:22" ht="13.2">
      <c r="A885" s="12"/>
      <c r="B885" s="46"/>
      <c r="C885" s="12"/>
      <c r="D885" s="15"/>
      <c r="E885" s="15"/>
      <c r="F885" s="15"/>
      <c r="G885" s="16"/>
      <c r="H885" s="16"/>
      <c r="I885" s="16"/>
      <c r="J885" s="16"/>
      <c r="K885" s="16"/>
      <c r="L885" s="16"/>
      <c r="M885" s="15"/>
      <c r="N885" s="16"/>
      <c r="O885" s="16"/>
      <c r="P885" s="16"/>
      <c r="Q885" s="16"/>
      <c r="R885" s="16"/>
      <c r="S885" s="16"/>
      <c r="T885" s="16"/>
      <c r="U885" s="16"/>
      <c r="V885" s="16"/>
    </row>
    <row r="886" spans="1:22" ht="13.2">
      <c r="A886" s="12"/>
      <c r="B886" s="46"/>
      <c r="C886" s="12"/>
      <c r="D886" s="15"/>
      <c r="E886" s="15"/>
      <c r="F886" s="15"/>
      <c r="G886" s="16"/>
      <c r="H886" s="16"/>
      <c r="I886" s="16"/>
      <c r="J886" s="16"/>
      <c r="K886" s="16"/>
      <c r="L886" s="16"/>
      <c r="M886" s="15"/>
      <c r="N886" s="16"/>
      <c r="O886" s="16"/>
      <c r="P886" s="16"/>
      <c r="Q886" s="16"/>
      <c r="R886" s="16"/>
      <c r="S886" s="16"/>
      <c r="T886" s="16"/>
      <c r="U886" s="16"/>
      <c r="V886" s="16"/>
    </row>
    <row r="887" spans="1:22" ht="13.2">
      <c r="A887" s="12"/>
      <c r="B887" s="46"/>
      <c r="C887" s="12"/>
      <c r="D887" s="15"/>
      <c r="E887" s="15"/>
      <c r="F887" s="15"/>
      <c r="G887" s="16"/>
      <c r="H887" s="16"/>
      <c r="I887" s="16"/>
      <c r="J887" s="16"/>
      <c r="K887" s="16"/>
      <c r="L887" s="16"/>
      <c r="M887" s="15"/>
      <c r="N887" s="16"/>
      <c r="O887" s="16"/>
      <c r="P887" s="16"/>
      <c r="Q887" s="16"/>
      <c r="R887" s="16"/>
      <c r="S887" s="16"/>
      <c r="T887" s="16"/>
      <c r="U887" s="16"/>
      <c r="V887" s="16"/>
    </row>
    <row r="888" spans="1:22" ht="13.2">
      <c r="A888" s="12"/>
      <c r="B888" s="46"/>
      <c r="C888" s="12"/>
      <c r="D888" s="15"/>
      <c r="E888" s="15"/>
      <c r="F888" s="15"/>
      <c r="G888" s="16"/>
      <c r="H888" s="16"/>
      <c r="I888" s="16"/>
      <c r="J888" s="16"/>
      <c r="K888" s="16"/>
      <c r="L888" s="16"/>
      <c r="M888" s="15"/>
      <c r="N888" s="16"/>
      <c r="O888" s="16"/>
      <c r="P888" s="16"/>
      <c r="Q888" s="16"/>
      <c r="R888" s="16"/>
      <c r="S888" s="16"/>
      <c r="T888" s="16"/>
      <c r="U888" s="16"/>
      <c r="V888" s="16"/>
    </row>
    <row r="889" spans="1:22" ht="13.2">
      <c r="A889" s="12"/>
      <c r="B889" s="46"/>
      <c r="C889" s="12"/>
      <c r="D889" s="15"/>
      <c r="E889" s="15"/>
      <c r="F889" s="15"/>
      <c r="G889" s="16"/>
      <c r="H889" s="16"/>
      <c r="I889" s="16"/>
      <c r="J889" s="16"/>
      <c r="K889" s="16"/>
      <c r="L889" s="16"/>
      <c r="M889" s="15"/>
      <c r="N889" s="16"/>
      <c r="O889" s="16"/>
      <c r="P889" s="16"/>
      <c r="Q889" s="16"/>
      <c r="R889" s="16"/>
      <c r="S889" s="16"/>
      <c r="T889" s="16"/>
      <c r="U889" s="16"/>
      <c r="V889" s="16"/>
    </row>
    <row r="890" spans="1:22" ht="13.2">
      <c r="A890" s="12"/>
      <c r="B890" s="46"/>
      <c r="C890" s="12"/>
      <c r="D890" s="15"/>
      <c r="E890" s="15"/>
      <c r="F890" s="15"/>
      <c r="G890" s="16"/>
      <c r="H890" s="16"/>
      <c r="I890" s="16"/>
      <c r="J890" s="16"/>
      <c r="K890" s="16"/>
      <c r="L890" s="16"/>
      <c r="M890" s="15"/>
      <c r="N890" s="16"/>
      <c r="O890" s="16"/>
      <c r="P890" s="16"/>
      <c r="Q890" s="16"/>
      <c r="R890" s="16"/>
      <c r="S890" s="16"/>
      <c r="T890" s="16"/>
      <c r="U890" s="16"/>
      <c r="V890" s="16"/>
    </row>
    <row r="891" spans="1:22" ht="13.2">
      <c r="A891" s="12"/>
      <c r="B891" s="46"/>
      <c r="C891" s="12"/>
      <c r="D891" s="15"/>
      <c r="E891" s="15"/>
      <c r="F891" s="15"/>
      <c r="G891" s="16"/>
      <c r="H891" s="16"/>
      <c r="I891" s="16"/>
      <c r="J891" s="16"/>
      <c r="K891" s="16"/>
      <c r="L891" s="16"/>
      <c r="M891" s="15"/>
      <c r="N891" s="16"/>
      <c r="O891" s="16"/>
      <c r="P891" s="16"/>
      <c r="Q891" s="16"/>
      <c r="R891" s="16"/>
      <c r="S891" s="16"/>
      <c r="T891" s="16"/>
      <c r="U891" s="16"/>
      <c r="V891" s="16"/>
    </row>
    <row r="892" spans="1:22" ht="13.2">
      <c r="A892" s="12"/>
      <c r="B892" s="46"/>
      <c r="C892" s="12"/>
      <c r="D892" s="15"/>
      <c r="E892" s="15"/>
      <c r="F892" s="15"/>
      <c r="G892" s="16"/>
      <c r="H892" s="16"/>
      <c r="I892" s="16"/>
      <c r="J892" s="16"/>
      <c r="K892" s="16"/>
      <c r="L892" s="16"/>
      <c r="M892" s="15"/>
      <c r="N892" s="16"/>
      <c r="O892" s="16"/>
      <c r="P892" s="16"/>
      <c r="Q892" s="16"/>
      <c r="R892" s="16"/>
      <c r="S892" s="16"/>
      <c r="T892" s="16"/>
      <c r="U892" s="16"/>
      <c r="V892" s="16"/>
    </row>
    <row r="893" spans="1:22" ht="13.2">
      <c r="A893" s="12"/>
      <c r="B893" s="46"/>
      <c r="C893" s="12"/>
      <c r="D893" s="15"/>
      <c r="E893" s="15"/>
      <c r="F893" s="15"/>
      <c r="G893" s="16"/>
      <c r="H893" s="16"/>
      <c r="I893" s="16"/>
      <c r="J893" s="16"/>
      <c r="K893" s="16"/>
      <c r="L893" s="16"/>
      <c r="M893" s="15"/>
      <c r="N893" s="16"/>
      <c r="O893" s="16"/>
      <c r="P893" s="16"/>
      <c r="Q893" s="16"/>
      <c r="R893" s="16"/>
      <c r="S893" s="16"/>
      <c r="T893" s="16"/>
      <c r="U893" s="16"/>
      <c r="V893" s="16"/>
    </row>
    <row r="894" spans="1:22" ht="13.2">
      <c r="A894" s="12"/>
      <c r="B894" s="46"/>
      <c r="C894" s="12"/>
      <c r="D894" s="15"/>
      <c r="E894" s="15"/>
      <c r="F894" s="15"/>
      <c r="G894" s="16"/>
      <c r="H894" s="16"/>
      <c r="I894" s="16"/>
      <c r="J894" s="16"/>
      <c r="K894" s="16"/>
      <c r="L894" s="16"/>
      <c r="M894" s="15"/>
      <c r="N894" s="16"/>
      <c r="O894" s="16"/>
      <c r="P894" s="16"/>
      <c r="Q894" s="16"/>
      <c r="R894" s="16"/>
      <c r="S894" s="16"/>
      <c r="T894" s="16"/>
      <c r="U894" s="16"/>
      <c r="V894" s="16"/>
    </row>
    <row r="895" spans="1:22" ht="13.2">
      <c r="A895" s="12"/>
      <c r="B895" s="46"/>
      <c r="C895" s="12"/>
      <c r="D895" s="15"/>
      <c r="E895" s="15"/>
      <c r="F895" s="15"/>
      <c r="G895" s="16"/>
      <c r="H895" s="16"/>
      <c r="I895" s="16"/>
      <c r="J895" s="16"/>
      <c r="K895" s="16"/>
      <c r="L895" s="16"/>
      <c r="M895" s="15"/>
      <c r="N895" s="16"/>
      <c r="O895" s="16"/>
      <c r="P895" s="16"/>
      <c r="Q895" s="16"/>
      <c r="R895" s="16"/>
      <c r="S895" s="16"/>
      <c r="T895" s="16"/>
      <c r="U895" s="16"/>
      <c r="V895" s="16"/>
    </row>
    <row r="896" spans="1:22" ht="13.2">
      <c r="A896" s="12"/>
      <c r="B896" s="46"/>
      <c r="C896" s="12"/>
      <c r="D896" s="15"/>
      <c r="E896" s="15"/>
      <c r="F896" s="15"/>
      <c r="G896" s="16"/>
      <c r="H896" s="16"/>
      <c r="I896" s="16"/>
      <c r="J896" s="16"/>
      <c r="K896" s="16"/>
      <c r="L896" s="16"/>
      <c r="M896" s="15"/>
      <c r="N896" s="16"/>
      <c r="O896" s="16"/>
      <c r="P896" s="16"/>
      <c r="Q896" s="16"/>
      <c r="R896" s="16"/>
      <c r="S896" s="16"/>
      <c r="T896" s="16"/>
      <c r="U896" s="16"/>
      <c r="V896" s="16"/>
    </row>
    <row r="897" spans="1:22" ht="13.2">
      <c r="A897" s="12"/>
      <c r="B897" s="46"/>
      <c r="C897" s="12"/>
      <c r="D897" s="15"/>
      <c r="E897" s="15"/>
      <c r="F897" s="15"/>
      <c r="G897" s="16"/>
      <c r="H897" s="16"/>
      <c r="I897" s="16"/>
      <c r="J897" s="16"/>
      <c r="K897" s="16"/>
      <c r="L897" s="16"/>
      <c r="M897" s="15"/>
      <c r="N897" s="16"/>
      <c r="O897" s="16"/>
      <c r="P897" s="16"/>
      <c r="Q897" s="16"/>
      <c r="R897" s="16"/>
      <c r="S897" s="16"/>
      <c r="T897" s="16"/>
      <c r="U897" s="16"/>
      <c r="V897" s="16"/>
    </row>
    <row r="898" spans="1:22" ht="13.2">
      <c r="A898" s="12"/>
      <c r="B898" s="46"/>
      <c r="C898" s="12"/>
      <c r="D898" s="15"/>
      <c r="E898" s="15"/>
      <c r="F898" s="15"/>
      <c r="G898" s="16"/>
      <c r="H898" s="16"/>
      <c r="I898" s="16"/>
      <c r="J898" s="16"/>
      <c r="K898" s="16"/>
      <c r="L898" s="16"/>
      <c r="M898" s="15"/>
      <c r="N898" s="16"/>
      <c r="O898" s="16"/>
      <c r="P898" s="16"/>
      <c r="Q898" s="16"/>
      <c r="R898" s="16"/>
      <c r="S898" s="16"/>
      <c r="T898" s="16"/>
      <c r="U898" s="16"/>
      <c r="V898" s="16"/>
    </row>
    <row r="899" spans="1:22" ht="13.2">
      <c r="A899" s="12"/>
      <c r="B899" s="46"/>
      <c r="C899" s="12"/>
      <c r="D899" s="15"/>
      <c r="E899" s="15"/>
      <c r="F899" s="15"/>
      <c r="G899" s="16"/>
      <c r="H899" s="16"/>
      <c r="I899" s="16"/>
      <c r="J899" s="16"/>
      <c r="K899" s="16"/>
      <c r="L899" s="16"/>
      <c r="M899" s="15"/>
      <c r="N899" s="16"/>
      <c r="O899" s="16"/>
      <c r="P899" s="16"/>
      <c r="Q899" s="16"/>
      <c r="R899" s="16"/>
      <c r="S899" s="16"/>
      <c r="T899" s="16"/>
      <c r="U899" s="16"/>
      <c r="V899" s="16"/>
    </row>
    <row r="900" spans="1:22" ht="13.2">
      <c r="A900" s="12"/>
      <c r="B900" s="46"/>
      <c r="C900" s="12"/>
      <c r="D900" s="15"/>
      <c r="E900" s="15"/>
      <c r="F900" s="15"/>
      <c r="G900" s="16"/>
      <c r="H900" s="16"/>
      <c r="I900" s="16"/>
      <c r="J900" s="16"/>
      <c r="K900" s="16"/>
      <c r="L900" s="16"/>
      <c r="M900" s="15"/>
      <c r="N900" s="16"/>
      <c r="O900" s="16"/>
      <c r="P900" s="16"/>
      <c r="Q900" s="16"/>
      <c r="R900" s="16"/>
      <c r="S900" s="16"/>
      <c r="T900" s="16"/>
      <c r="U900" s="16"/>
      <c r="V900" s="16"/>
    </row>
    <row r="901" spans="1:22" ht="13.2">
      <c r="A901" s="12"/>
      <c r="B901" s="46"/>
      <c r="C901" s="12"/>
      <c r="D901" s="15"/>
      <c r="E901" s="15"/>
      <c r="F901" s="15"/>
      <c r="G901" s="16"/>
      <c r="H901" s="16"/>
      <c r="I901" s="16"/>
      <c r="J901" s="16"/>
      <c r="K901" s="16"/>
      <c r="L901" s="16"/>
      <c r="M901" s="15"/>
      <c r="N901" s="16"/>
      <c r="O901" s="16"/>
      <c r="P901" s="16"/>
      <c r="Q901" s="16"/>
      <c r="R901" s="16"/>
      <c r="S901" s="16"/>
      <c r="T901" s="16"/>
      <c r="U901" s="16"/>
      <c r="V901" s="16"/>
    </row>
    <row r="902" spans="1:22" ht="13.2">
      <c r="A902" s="12"/>
      <c r="B902" s="46"/>
      <c r="C902" s="12"/>
      <c r="D902" s="15"/>
      <c r="E902" s="15"/>
      <c r="F902" s="15"/>
      <c r="G902" s="16"/>
      <c r="H902" s="16"/>
      <c r="I902" s="16"/>
      <c r="J902" s="16"/>
      <c r="K902" s="16"/>
      <c r="L902" s="16"/>
      <c r="M902" s="15"/>
      <c r="N902" s="16"/>
      <c r="O902" s="16"/>
      <c r="P902" s="16"/>
      <c r="Q902" s="16"/>
      <c r="R902" s="16"/>
      <c r="S902" s="16"/>
      <c r="T902" s="16"/>
      <c r="U902" s="16"/>
      <c r="V902" s="16"/>
    </row>
    <row r="903" spans="1:22" ht="13.2">
      <c r="A903" s="12"/>
      <c r="B903" s="46"/>
      <c r="C903" s="12"/>
      <c r="D903" s="15"/>
      <c r="E903" s="15"/>
      <c r="F903" s="15"/>
      <c r="G903" s="16"/>
      <c r="H903" s="16"/>
      <c r="I903" s="16"/>
      <c r="J903" s="16"/>
      <c r="K903" s="16"/>
      <c r="L903" s="16"/>
      <c r="M903" s="15"/>
      <c r="N903" s="16"/>
      <c r="O903" s="16"/>
      <c r="P903" s="16"/>
      <c r="Q903" s="16"/>
      <c r="R903" s="16"/>
      <c r="S903" s="16"/>
      <c r="T903" s="16"/>
      <c r="U903" s="16"/>
      <c r="V903" s="16"/>
    </row>
    <row r="904" spans="1:22" ht="13.2">
      <c r="A904" s="12"/>
      <c r="B904" s="46"/>
      <c r="C904" s="12"/>
      <c r="D904" s="15"/>
      <c r="E904" s="15"/>
      <c r="F904" s="15"/>
      <c r="G904" s="16"/>
      <c r="H904" s="16"/>
      <c r="I904" s="16"/>
      <c r="J904" s="16"/>
      <c r="K904" s="16"/>
      <c r="L904" s="16"/>
      <c r="M904" s="15"/>
      <c r="N904" s="16"/>
      <c r="O904" s="16"/>
      <c r="P904" s="16"/>
      <c r="Q904" s="16"/>
      <c r="R904" s="16"/>
      <c r="S904" s="16"/>
      <c r="T904" s="16"/>
      <c r="U904" s="16"/>
      <c r="V904" s="16"/>
    </row>
    <row r="905" spans="1:22" ht="13.2">
      <c r="A905" s="12"/>
      <c r="B905" s="46"/>
      <c r="C905" s="12"/>
      <c r="D905" s="15"/>
      <c r="E905" s="15"/>
      <c r="F905" s="15"/>
      <c r="G905" s="16"/>
      <c r="H905" s="16"/>
      <c r="I905" s="16"/>
      <c r="J905" s="16"/>
      <c r="K905" s="16"/>
      <c r="L905" s="16"/>
      <c r="M905" s="15"/>
      <c r="N905" s="16"/>
      <c r="O905" s="16"/>
      <c r="P905" s="16"/>
      <c r="Q905" s="16"/>
      <c r="R905" s="16"/>
      <c r="S905" s="16"/>
      <c r="T905" s="16"/>
      <c r="U905" s="16"/>
      <c r="V905" s="16"/>
    </row>
    <row r="906" spans="1:22" ht="13.2">
      <c r="A906" s="12"/>
      <c r="B906" s="46"/>
      <c r="C906" s="12"/>
      <c r="D906" s="15"/>
      <c r="E906" s="15"/>
      <c r="F906" s="15"/>
      <c r="G906" s="16"/>
      <c r="H906" s="16"/>
      <c r="I906" s="16"/>
      <c r="J906" s="16"/>
      <c r="K906" s="16"/>
      <c r="L906" s="16"/>
      <c r="M906" s="15"/>
      <c r="N906" s="16"/>
      <c r="O906" s="16"/>
      <c r="P906" s="16"/>
      <c r="Q906" s="16"/>
      <c r="R906" s="16"/>
      <c r="S906" s="16"/>
      <c r="T906" s="16"/>
      <c r="U906" s="16"/>
      <c r="V906" s="16"/>
    </row>
    <row r="907" spans="1:22" ht="13.2">
      <c r="A907" s="12"/>
      <c r="B907" s="46"/>
      <c r="C907" s="12"/>
      <c r="D907" s="15"/>
      <c r="E907" s="15"/>
      <c r="F907" s="15"/>
      <c r="G907" s="16"/>
      <c r="H907" s="16"/>
      <c r="I907" s="16"/>
      <c r="J907" s="16"/>
      <c r="K907" s="16"/>
      <c r="L907" s="16"/>
      <c r="M907" s="15"/>
      <c r="N907" s="16"/>
      <c r="O907" s="16"/>
      <c r="P907" s="16"/>
      <c r="Q907" s="16"/>
      <c r="R907" s="16"/>
      <c r="S907" s="16"/>
      <c r="T907" s="16"/>
      <c r="U907" s="16"/>
      <c r="V907" s="16"/>
    </row>
    <row r="908" spans="1:22" ht="13.2">
      <c r="A908" s="12"/>
      <c r="B908" s="46"/>
      <c r="C908" s="12"/>
      <c r="D908" s="15"/>
      <c r="E908" s="15"/>
      <c r="F908" s="15"/>
      <c r="G908" s="16"/>
      <c r="H908" s="16"/>
      <c r="I908" s="16"/>
      <c r="J908" s="16"/>
      <c r="K908" s="16"/>
      <c r="L908" s="16"/>
      <c r="M908" s="15"/>
      <c r="N908" s="16"/>
      <c r="O908" s="16"/>
      <c r="P908" s="16"/>
      <c r="Q908" s="16"/>
      <c r="R908" s="16"/>
      <c r="S908" s="16"/>
      <c r="T908" s="16"/>
      <c r="U908" s="16"/>
      <c r="V908" s="16"/>
    </row>
    <row r="909" spans="1:22" ht="13.2">
      <c r="A909" s="12"/>
      <c r="B909" s="46"/>
      <c r="C909" s="12"/>
      <c r="D909" s="15"/>
      <c r="E909" s="15"/>
      <c r="F909" s="15"/>
      <c r="G909" s="16"/>
      <c r="H909" s="16"/>
      <c r="I909" s="16"/>
      <c r="J909" s="16"/>
      <c r="K909" s="16"/>
      <c r="L909" s="16"/>
      <c r="M909" s="15"/>
      <c r="N909" s="16"/>
      <c r="O909" s="16"/>
      <c r="P909" s="16"/>
      <c r="Q909" s="16"/>
      <c r="R909" s="16"/>
      <c r="S909" s="16"/>
      <c r="T909" s="16"/>
      <c r="U909" s="16"/>
      <c r="V909" s="16"/>
    </row>
    <row r="910" spans="1:22" ht="13.2">
      <c r="A910" s="12"/>
      <c r="B910" s="46"/>
      <c r="C910" s="12"/>
      <c r="D910" s="15"/>
      <c r="E910" s="15"/>
      <c r="F910" s="15"/>
      <c r="G910" s="16"/>
      <c r="H910" s="16"/>
      <c r="I910" s="16"/>
      <c r="J910" s="16"/>
      <c r="K910" s="16"/>
      <c r="L910" s="16"/>
      <c r="M910" s="15"/>
      <c r="N910" s="16"/>
      <c r="O910" s="16"/>
      <c r="P910" s="16"/>
      <c r="Q910" s="16"/>
      <c r="R910" s="16"/>
      <c r="S910" s="16"/>
      <c r="T910" s="16"/>
      <c r="U910" s="16"/>
      <c r="V910" s="16"/>
    </row>
    <row r="911" spans="1:22" ht="13.2">
      <c r="A911" s="12"/>
      <c r="B911" s="46"/>
      <c r="C911" s="12"/>
      <c r="D911" s="15"/>
      <c r="E911" s="15"/>
      <c r="F911" s="15"/>
      <c r="G911" s="16"/>
      <c r="H911" s="16"/>
      <c r="I911" s="16"/>
      <c r="J911" s="16"/>
      <c r="K911" s="16"/>
      <c r="L911" s="16"/>
      <c r="M911" s="15"/>
      <c r="N911" s="16"/>
      <c r="O911" s="16"/>
      <c r="P911" s="16"/>
      <c r="Q911" s="16"/>
      <c r="R911" s="16"/>
      <c r="S911" s="16"/>
      <c r="T911" s="16"/>
      <c r="U911" s="16"/>
      <c r="V911" s="16"/>
    </row>
    <row r="912" spans="1:22" ht="13.2">
      <c r="A912" s="12"/>
      <c r="B912" s="46"/>
      <c r="C912" s="12"/>
      <c r="D912" s="15"/>
      <c r="E912" s="15"/>
      <c r="F912" s="15"/>
      <c r="G912" s="16"/>
      <c r="H912" s="16"/>
      <c r="I912" s="16"/>
      <c r="J912" s="16"/>
      <c r="K912" s="16"/>
      <c r="L912" s="16"/>
      <c r="M912" s="15"/>
      <c r="N912" s="16"/>
      <c r="O912" s="16"/>
      <c r="P912" s="16"/>
      <c r="Q912" s="16"/>
      <c r="R912" s="16"/>
      <c r="S912" s="16"/>
      <c r="T912" s="16"/>
      <c r="U912" s="16"/>
      <c r="V912" s="16"/>
    </row>
    <row r="913" spans="1:22" ht="13.2">
      <c r="A913" s="12"/>
      <c r="B913" s="46"/>
      <c r="C913" s="12"/>
      <c r="D913" s="15"/>
      <c r="E913" s="15"/>
      <c r="F913" s="15"/>
      <c r="G913" s="16"/>
      <c r="H913" s="16"/>
      <c r="I913" s="16"/>
      <c r="J913" s="16"/>
      <c r="K913" s="16"/>
      <c r="L913" s="16"/>
      <c r="M913" s="15"/>
      <c r="N913" s="16"/>
      <c r="O913" s="16"/>
      <c r="P913" s="16"/>
      <c r="Q913" s="16"/>
      <c r="R913" s="16"/>
      <c r="S913" s="16"/>
      <c r="T913" s="16"/>
      <c r="U913" s="16"/>
      <c r="V913" s="16"/>
    </row>
    <row r="914" spans="1:22" ht="13.2">
      <c r="A914" s="12"/>
      <c r="B914" s="46"/>
      <c r="C914" s="12"/>
      <c r="D914" s="15"/>
      <c r="E914" s="15"/>
      <c r="F914" s="15"/>
      <c r="G914" s="16"/>
      <c r="H914" s="16"/>
      <c r="I914" s="16"/>
      <c r="J914" s="16"/>
      <c r="K914" s="16"/>
      <c r="L914" s="16"/>
      <c r="M914" s="15"/>
      <c r="N914" s="16"/>
      <c r="O914" s="16"/>
      <c r="P914" s="16"/>
      <c r="Q914" s="16"/>
      <c r="R914" s="16"/>
      <c r="S914" s="16"/>
      <c r="T914" s="16"/>
      <c r="U914" s="16"/>
      <c r="V914" s="16"/>
    </row>
    <row r="915" spans="1:22" ht="13.2">
      <c r="A915" s="12"/>
      <c r="B915" s="46"/>
      <c r="C915" s="12"/>
      <c r="D915" s="15"/>
      <c r="E915" s="15"/>
      <c r="F915" s="15"/>
      <c r="G915" s="16"/>
      <c r="H915" s="16"/>
      <c r="I915" s="16"/>
      <c r="J915" s="16"/>
      <c r="K915" s="16"/>
      <c r="L915" s="16"/>
      <c r="M915" s="15"/>
      <c r="N915" s="16"/>
      <c r="O915" s="16"/>
      <c r="P915" s="16"/>
      <c r="Q915" s="16"/>
      <c r="R915" s="16"/>
      <c r="S915" s="16"/>
      <c r="T915" s="16"/>
      <c r="U915" s="16"/>
      <c r="V915" s="16"/>
    </row>
    <row r="916" spans="1:22" ht="13.2">
      <c r="A916" s="12"/>
      <c r="B916" s="46"/>
      <c r="C916" s="12"/>
      <c r="D916" s="15"/>
      <c r="E916" s="15"/>
      <c r="F916" s="15"/>
      <c r="G916" s="16"/>
      <c r="H916" s="16"/>
      <c r="I916" s="16"/>
      <c r="J916" s="16"/>
      <c r="K916" s="16"/>
      <c r="L916" s="16"/>
      <c r="M916" s="15"/>
      <c r="N916" s="16"/>
      <c r="O916" s="16"/>
      <c r="P916" s="16"/>
      <c r="Q916" s="16"/>
      <c r="R916" s="16"/>
      <c r="S916" s="16"/>
      <c r="T916" s="16"/>
      <c r="U916" s="16"/>
      <c r="V916" s="16"/>
    </row>
    <row r="917" spans="1:22" ht="13.2">
      <c r="A917" s="12"/>
      <c r="B917" s="46"/>
      <c r="C917" s="12"/>
      <c r="D917" s="15"/>
      <c r="E917" s="15"/>
      <c r="F917" s="15"/>
      <c r="G917" s="16"/>
      <c r="H917" s="16"/>
      <c r="I917" s="16"/>
      <c r="J917" s="16"/>
      <c r="K917" s="16"/>
      <c r="L917" s="16"/>
      <c r="M917" s="15"/>
      <c r="N917" s="16"/>
      <c r="O917" s="16"/>
      <c r="P917" s="16"/>
      <c r="Q917" s="16"/>
      <c r="R917" s="16"/>
      <c r="S917" s="16"/>
      <c r="T917" s="16"/>
      <c r="U917" s="16"/>
      <c r="V917" s="16"/>
    </row>
    <row r="918" spans="1:22" ht="13.2">
      <c r="A918" s="12"/>
      <c r="B918" s="46"/>
      <c r="C918" s="12"/>
      <c r="D918" s="15"/>
      <c r="E918" s="15"/>
      <c r="F918" s="15"/>
      <c r="G918" s="16"/>
      <c r="H918" s="16"/>
      <c r="I918" s="16"/>
      <c r="J918" s="16"/>
      <c r="K918" s="16"/>
      <c r="L918" s="16"/>
      <c r="M918" s="15"/>
      <c r="N918" s="16"/>
      <c r="O918" s="16"/>
      <c r="P918" s="16"/>
      <c r="Q918" s="16"/>
      <c r="R918" s="16"/>
      <c r="S918" s="16"/>
      <c r="T918" s="16"/>
      <c r="U918" s="16"/>
      <c r="V918" s="16"/>
    </row>
    <row r="919" spans="1:22" ht="13.2">
      <c r="A919" s="12"/>
      <c r="B919" s="46"/>
      <c r="C919" s="12"/>
      <c r="D919" s="15"/>
      <c r="E919" s="15"/>
      <c r="F919" s="15"/>
      <c r="G919" s="16"/>
      <c r="H919" s="16"/>
      <c r="I919" s="16"/>
      <c r="J919" s="16"/>
      <c r="K919" s="16"/>
      <c r="L919" s="16"/>
      <c r="M919" s="15"/>
      <c r="N919" s="16"/>
      <c r="O919" s="16"/>
      <c r="P919" s="16"/>
      <c r="Q919" s="16"/>
      <c r="R919" s="16"/>
      <c r="S919" s="16"/>
      <c r="T919" s="16"/>
      <c r="U919" s="16"/>
      <c r="V919" s="16"/>
    </row>
    <row r="920" spans="1:22" ht="13.2">
      <c r="A920" s="12"/>
      <c r="B920" s="46"/>
      <c r="C920" s="12"/>
      <c r="D920" s="15"/>
      <c r="E920" s="15"/>
      <c r="F920" s="15"/>
      <c r="G920" s="16"/>
      <c r="H920" s="16"/>
      <c r="I920" s="16"/>
      <c r="J920" s="16"/>
      <c r="K920" s="16"/>
      <c r="L920" s="16"/>
      <c r="M920" s="15"/>
      <c r="N920" s="16"/>
      <c r="O920" s="16"/>
      <c r="P920" s="16"/>
      <c r="Q920" s="16"/>
      <c r="R920" s="16"/>
      <c r="S920" s="16"/>
      <c r="T920" s="16"/>
      <c r="U920" s="16"/>
      <c r="V920" s="16"/>
    </row>
    <row r="921" spans="1:22" ht="13.2">
      <c r="A921" s="12"/>
      <c r="B921" s="46"/>
      <c r="C921" s="12"/>
      <c r="D921" s="15"/>
      <c r="E921" s="15"/>
      <c r="F921" s="15"/>
      <c r="G921" s="16"/>
      <c r="H921" s="16"/>
      <c r="I921" s="16"/>
      <c r="J921" s="16"/>
      <c r="K921" s="16"/>
      <c r="L921" s="16"/>
      <c r="M921" s="15"/>
      <c r="N921" s="16"/>
      <c r="O921" s="16"/>
      <c r="P921" s="16"/>
      <c r="Q921" s="16"/>
      <c r="R921" s="16"/>
      <c r="S921" s="16"/>
      <c r="T921" s="16"/>
      <c r="U921" s="16"/>
      <c r="V921" s="16"/>
    </row>
    <row r="922" spans="1:22" ht="13.2">
      <c r="A922" s="12"/>
      <c r="B922" s="46"/>
      <c r="C922" s="12"/>
      <c r="D922" s="15"/>
      <c r="E922" s="15"/>
      <c r="F922" s="15"/>
      <c r="G922" s="16"/>
      <c r="H922" s="16"/>
      <c r="I922" s="16"/>
      <c r="J922" s="16"/>
      <c r="K922" s="16"/>
      <c r="L922" s="16"/>
      <c r="M922" s="15"/>
      <c r="N922" s="16"/>
      <c r="O922" s="16"/>
      <c r="P922" s="16"/>
      <c r="Q922" s="16"/>
      <c r="R922" s="16"/>
      <c r="S922" s="16"/>
      <c r="T922" s="16"/>
      <c r="U922" s="16"/>
      <c r="V922" s="16"/>
    </row>
    <row r="923" spans="1:22" ht="13.2">
      <c r="A923" s="12"/>
      <c r="B923" s="46"/>
      <c r="C923" s="12"/>
      <c r="D923" s="15"/>
      <c r="E923" s="15"/>
      <c r="F923" s="15"/>
      <c r="G923" s="16"/>
      <c r="H923" s="16"/>
      <c r="I923" s="16"/>
      <c r="J923" s="16"/>
      <c r="K923" s="16"/>
      <c r="L923" s="16"/>
      <c r="M923" s="15"/>
      <c r="N923" s="16"/>
      <c r="O923" s="16"/>
      <c r="P923" s="16"/>
      <c r="Q923" s="16"/>
      <c r="R923" s="16"/>
      <c r="S923" s="16"/>
      <c r="T923" s="16"/>
      <c r="U923" s="16"/>
      <c r="V923" s="16"/>
    </row>
    <row r="924" spans="1:22" ht="13.2">
      <c r="A924" s="12"/>
      <c r="B924" s="46"/>
      <c r="C924" s="12"/>
      <c r="D924" s="15"/>
      <c r="E924" s="15"/>
      <c r="F924" s="15"/>
      <c r="G924" s="16"/>
      <c r="H924" s="16"/>
      <c r="I924" s="16"/>
      <c r="J924" s="16"/>
      <c r="K924" s="16"/>
      <c r="L924" s="16"/>
      <c r="M924" s="15"/>
      <c r="N924" s="16"/>
      <c r="O924" s="16"/>
      <c r="P924" s="16"/>
      <c r="Q924" s="16"/>
      <c r="R924" s="16"/>
      <c r="S924" s="16"/>
      <c r="T924" s="16"/>
      <c r="U924" s="16"/>
      <c r="V924" s="16"/>
    </row>
    <row r="925" spans="1:22" ht="13.2">
      <c r="A925" s="12"/>
      <c r="B925" s="46"/>
      <c r="C925" s="12"/>
      <c r="D925" s="15"/>
      <c r="E925" s="15"/>
      <c r="F925" s="15"/>
      <c r="G925" s="16"/>
      <c r="H925" s="16"/>
      <c r="I925" s="16"/>
      <c r="J925" s="16"/>
      <c r="K925" s="16"/>
      <c r="L925" s="16"/>
      <c r="M925" s="15"/>
      <c r="N925" s="16"/>
      <c r="O925" s="16"/>
      <c r="P925" s="16"/>
      <c r="Q925" s="16"/>
      <c r="R925" s="16"/>
      <c r="S925" s="16"/>
      <c r="T925" s="16"/>
      <c r="U925" s="16"/>
      <c r="V925" s="16"/>
    </row>
    <row r="926" spans="1:22" ht="13.2">
      <c r="A926" s="12"/>
      <c r="B926" s="46"/>
      <c r="C926" s="12"/>
      <c r="D926" s="15"/>
      <c r="E926" s="15"/>
      <c r="F926" s="15"/>
      <c r="G926" s="16"/>
      <c r="H926" s="16"/>
      <c r="I926" s="16"/>
      <c r="J926" s="16"/>
      <c r="K926" s="16"/>
      <c r="L926" s="16"/>
      <c r="M926" s="15"/>
      <c r="N926" s="16"/>
      <c r="O926" s="16"/>
      <c r="P926" s="16"/>
      <c r="Q926" s="16"/>
      <c r="R926" s="16"/>
      <c r="S926" s="16"/>
      <c r="T926" s="16"/>
      <c r="U926" s="16"/>
      <c r="V926" s="16"/>
    </row>
    <row r="927" spans="1:22" ht="13.2">
      <c r="A927" s="12"/>
      <c r="B927" s="46"/>
      <c r="C927" s="12"/>
      <c r="D927" s="15"/>
      <c r="E927" s="15"/>
      <c r="F927" s="15"/>
      <c r="G927" s="16"/>
      <c r="H927" s="16"/>
      <c r="I927" s="16"/>
      <c r="J927" s="16"/>
      <c r="K927" s="16"/>
      <c r="L927" s="16"/>
      <c r="M927" s="15"/>
      <c r="N927" s="16"/>
      <c r="O927" s="16"/>
      <c r="P927" s="16"/>
      <c r="Q927" s="16"/>
      <c r="R927" s="16"/>
      <c r="S927" s="16"/>
      <c r="T927" s="16"/>
      <c r="U927" s="16"/>
      <c r="V927" s="16"/>
    </row>
    <row r="928" spans="1:22" ht="13.2">
      <c r="A928" s="12"/>
      <c r="B928" s="46"/>
      <c r="C928" s="12"/>
      <c r="D928" s="15"/>
      <c r="E928" s="15"/>
      <c r="F928" s="15"/>
      <c r="G928" s="16"/>
      <c r="H928" s="16"/>
      <c r="I928" s="16"/>
      <c r="J928" s="16"/>
      <c r="K928" s="16"/>
      <c r="L928" s="16"/>
      <c r="M928" s="15"/>
      <c r="N928" s="16"/>
      <c r="O928" s="16"/>
      <c r="P928" s="16"/>
      <c r="Q928" s="16"/>
      <c r="R928" s="16"/>
      <c r="S928" s="16"/>
      <c r="T928" s="16"/>
      <c r="U928" s="16"/>
      <c r="V928" s="16"/>
    </row>
    <row r="929" spans="1:22" ht="13.2">
      <c r="A929" s="12"/>
      <c r="B929" s="46"/>
      <c r="C929" s="12"/>
      <c r="D929" s="15"/>
      <c r="E929" s="15"/>
      <c r="F929" s="15"/>
      <c r="G929" s="16"/>
      <c r="H929" s="16"/>
      <c r="I929" s="16"/>
      <c r="J929" s="16"/>
      <c r="K929" s="16"/>
      <c r="L929" s="16"/>
      <c r="M929" s="15"/>
      <c r="N929" s="16"/>
      <c r="O929" s="16"/>
      <c r="P929" s="16"/>
      <c r="Q929" s="16"/>
      <c r="R929" s="16"/>
      <c r="S929" s="16"/>
      <c r="T929" s="16"/>
      <c r="U929" s="16"/>
      <c r="V929" s="16"/>
    </row>
    <row r="930" spans="1:22" ht="13.2">
      <c r="A930" s="12"/>
      <c r="B930" s="46"/>
      <c r="C930" s="12"/>
      <c r="D930" s="15"/>
      <c r="E930" s="15"/>
      <c r="F930" s="15"/>
      <c r="G930" s="16"/>
      <c r="H930" s="16"/>
      <c r="I930" s="16"/>
      <c r="J930" s="16"/>
      <c r="K930" s="16"/>
      <c r="L930" s="16"/>
      <c r="M930" s="15"/>
      <c r="N930" s="16"/>
      <c r="O930" s="16"/>
      <c r="P930" s="16"/>
      <c r="Q930" s="16"/>
      <c r="R930" s="16"/>
      <c r="S930" s="16"/>
      <c r="T930" s="16"/>
      <c r="U930" s="16"/>
      <c r="V930" s="16"/>
    </row>
    <row r="931" spans="1:22" ht="13.2">
      <c r="A931" s="12"/>
      <c r="B931" s="46"/>
      <c r="C931" s="12"/>
      <c r="D931" s="15"/>
      <c r="E931" s="15"/>
      <c r="F931" s="15"/>
      <c r="G931" s="16"/>
      <c r="H931" s="16"/>
      <c r="I931" s="16"/>
      <c r="J931" s="16"/>
      <c r="K931" s="16"/>
      <c r="L931" s="16"/>
      <c r="M931" s="15"/>
      <c r="N931" s="16"/>
      <c r="O931" s="16"/>
      <c r="P931" s="16"/>
      <c r="Q931" s="16"/>
      <c r="R931" s="16"/>
      <c r="S931" s="16"/>
      <c r="T931" s="16"/>
      <c r="U931" s="16"/>
      <c r="V931" s="16"/>
    </row>
    <row r="932" spans="1:22" ht="13.2">
      <c r="A932" s="12"/>
      <c r="B932" s="46"/>
      <c r="C932" s="12"/>
      <c r="D932" s="15"/>
      <c r="E932" s="15"/>
      <c r="F932" s="15"/>
      <c r="G932" s="16"/>
      <c r="H932" s="16"/>
      <c r="I932" s="16"/>
      <c r="J932" s="16"/>
      <c r="K932" s="16"/>
      <c r="L932" s="16"/>
      <c r="M932" s="15"/>
      <c r="N932" s="16"/>
      <c r="O932" s="16"/>
      <c r="P932" s="16"/>
      <c r="Q932" s="16"/>
      <c r="R932" s="16"/>
      <c r="S932" s="16"/>
      <c r="T932" s="16"/>
      <c r="U932" s="16"/>
      <c r="V932" s="16"/>
    </row>
    <row r="933" spans="1:22" ht="13.2">
      <c r="A933" s="12"/>
      <c r="B933" s="46"/>
      <c r="C933" s="12"/>
      <c r="D933" s="15"/>
      <c r="E933" s="15"/>
      <c r="F933" s="15"/>
      <c r="G933" s="16"/>
      <c r="H933" s="16"/>
      <c r="I933" s="16"/>
      <c r="J933" s="16"/>
      <c r="K933" s="16"/>
      <c r="L933" s="16"/>
      <c r="M933" s="15"/>
      <c r="N933" s="16"/>
      <c r="O933" s="16"/>
      <c r="P933" s="16"/>
      <c r="Q933" s="16"/>
      <c r="R933" s="16"/>
      <c r="S933" s="16"/>
      <c r="T933" s="16"/>
      <c r="U933" s="16"/>
      <c r="V933" s="16"/>
    </row>
    <row r="934" spans="1:22" ht="13.2">
      <c r="A934" s="12"/>
      <c r="B934" s="46"/>
      <c r="C934" s="12"/>
      <c r="D934" s="15"/>
      <c r="E934" s="15"/>
      <c r="F934" s="15"/>
      <c r="G934" s="16"/>
      <c r="H934" s="16"/>
      <c r="I934" s="16"/>
      <c r="J934" s="16"/>
      <c r="K934" s="16"/>
      <c r="L934" s="16"/>
      <c r="M934" s="15"/>
      <c r="N934" s="16"/>
      <c r="O934" s="16"/>
      <c r="P934" s="16"/>
      <c r="Q934" s="16"/>
      <c r="R934" s="16"/>
      <c r="S934" s="16"/>
      <c r="T934" s="16"/>
      <c r="U934" s="16"/>
      <c r="V934" s="16"/>
    </row>
    <row r="935" spans="1:22" ht="13.2">
      <c r="A935" s="12"/>
      <c r="B935" s="46"/>
      <c r="C935" s="12"/>
      <c r="D935" s="15"/>
      <c r="E935" s="15"/>
      <c r="F935" s="15"/>
      <c r="G935" s="16"/>
      <c r="H935" s="16"/>
      <c r="I935" s="16"/>
      <c r="J935" s="16"/>
      <c r="K935" s="16"/>
      <c r="L935" s="16"/>
      <c r="M935" s="15"/>
      <c r="N935" s="16"/>
      <c r="O935" s="16"/>
      <c r="P935" s="16"/>
      <c r="Q935" s="16"/>
      <c r="R935" s="16"/>
      <c r="S935" s="16"/>
      <c r="T935" s="16"/>
      <c r="U935" s="16"/>
      <c r="V935" s="16"/>
    </row>
    <row r="936" spans="1:22" ht="13.2">
      <c r="A936" s="12"/>
      <c r="B936" s="46"/>
      <c r="C936" s="12"/>
      <c r="D936" s="15"/>
      <c r="E936" s="15"/>
      <c r="F936" s="15"/>
      <c r="G936" s="16"/>
      <c r="H936" s="16"/>
      <c r="I936" s="16"/>
      <c r="J936" s="16"/>
      <c r="K936" s="16"/>
      <c r="L936" s="16"/>
      <c r="M936" s="15"/>
      <c r="N936" s="16"/>
      <c r="O936" s="16"/>
      <c r="P936" s="16"/>
      <c r="Q936" s="16"/>
      <c r="R936" s="16"/>
      <c r="S936" s="16"/>
      <c r="T936" s="16"/>
      <c r="U936" s="16"/>
      <c r="V936" s="16"/>
    </row>
    <row r="937" spans="1:22" ht="13.2">
      <c r="A937" s="12"/>
      <c r="B937" s="46"/>
      <c r="C937" s="12"/>
      <c r="D937" s="15"/>
      <c r="E937" s="15"/>
      <c r="F937" s="15"/>
      <c r="G937" s="16"/>
      <c r="H937" s="16"/>
      <c r="I937" s="16"/>
      <c r="J937" s="16"/>
      <c r="K937" s="16"/>
      <c r="L937" s="16"/>
      <c r="M937" s="15"/>
      <c r="N937" s="16"/>
      <c r="O937" s="16"/>
      <c r="P937" s="16"/>
      <c r="Q937" s="16"/>
      <c r="R937" s="16"/>
      <c r="S937" s="16"/>
      <c r="T937" s="16"/>
      <c r="U937" s="16"/>
      <c r="V937" s="16"/>
    </row>
    <row r="938" spans="1:22" ht="13.2">
      <c r="A938" s="12"/>
      <c r="B938" s="46"/>
      <c r="C938" s="12"/>
      <c r="D938" s="15"/>
      <c r="E938" s="15"/>
      <c r="F938" s="15"/>
      <c r="G938" s="16"/>
      <c r="H938" s="16"/>
      <c r="I938" s="16"/>
      <c r="J938" s="16"/>
      <c r="K938" s="16"/>
      <c r="L938" s="16"/>
      <c r="M938" s="15"/>
      <c r="N938" s="16"/>
      <c r="O938" s="16"/>
      <c r="P938" s="16"/>
      <c r="Q938" s="16"/>
      <c r="R938" s="16"/>
      <c r="S938" s="16"/>
      <c r="T938" s="16"/>
      <c r="U938" s="16"/>
      <c r="V938" s="16"/>
    </row>
    <row r="939" spans="1:22" ht="13.2">
      <c r="A939" s="12"/>
      <c r="B939" s="46"/>
      <c r="C939" s="12"/>
      <c r="D939" s="15"/>
      <c r="E939" s="15"/>
      <c r="F939" s="15"/>
      <c r="G939" s="16"/>
      <c r="H939" s="16"/>
      <c r="I939" s="16"/>
      <c r="J939" s="16"/>
      <c r="K939" s="16"/>
      <c r="L939" s="16"/>
      <c r="M939" s="15"/>
      <c r="N939" s="16"/>
      <c r="O939" s="16"/>
      <c r="P939" s="16"/>
      <c r="Q939" s="16"/>
      <c r="R939" s="16"/>
      <c r="S939" s="16"/>
      <c r="T939" s="16"/>
      <c r="U939" s="16"/>
      <c r="V939" s="16"/>
    </row>
    <row r="940" spans="1:22" ht="13.2">
      <c r="A940" s="12"/>
      <c r="B940" s="46"/>
      <c r="C940" s="12"/>
      <c r="D940" s="15"/>
      <c r="E940" s="15"/>
      <c r="F940" s="15"/>
      <c r="G940" s="16"/>
      <c r="H940" s="16"/>
      <c r="I940" s="16"/>
      <c r="J940" s="16"/>
      <c r="K940" s="16"/>
      <c r="L940" s="16"/>
      <c r="M940" s="15"/>
      <c r="N940" s="16"/>
      <c r="O940" s="16"/>
      <c r="P940" s="16"/>
      <c r="Q940" s="16"/>
      <c r="R940" s="16"/>
      <c r="S940" s="16"/>
      <c r="T940" s="16"/>
      <c r="U940" s="16"/>
      <c r="V940" s="16"/>
    </row>
    <row r="941" spans="1:22" ht="13.2">
      <c r="A941" s="12"/>
      <c r="B941" s="46"/>
      <c r="C941" s="12"/>
      <c r="D941" s="15"/>
      <c r="E941" s="15"/>
      <c r="F941" s="15"/>
      <c r="G941" s="16"/>
      <c r="H941" s="16"/>
      <c r="I941" s="16"/>
      <c r="J941" s="16"/>
      <c r="K941" s="16"/>
      <c r="L941" s="16"/>
      <c r="M941" s="15"/>
      <c r="N941" s="16"/>
      <c r="O941" s="16"/>
      <c r="P941" s="16"/>
      <c r="Q941" s="16"/>
      <c r="R941" s="16"/>
      <c r="S941" s="16"/>
      <c r="T941" s="16"/>
      <c r="U941" s="16"/>
      <c r="V941" s="16"/>
    </row>
    <row r="942" spans="1:22" ht="13.2">
      <c r="A942" s="12"/>
      <c r="B942" s="46"/>
      <c r="C942" s="12"/>
      <c r="D942" s="15"/>
      <c r="E942" s="15"/>
      <c r="F942" s="15"/>
      <c r="G942" s="16"/>
      <c r="H942" s="16"/>
      <c r="I942" s="16"/>
      <c r="J942" s="16"/>
      <c r="K942" s="16"/>
      <c r="L942" s="16"/>
      <c r="M942" s="15"/>
      <c r="N942" s="16"/>
      <c r="O942" s="16"/>
      <c r="P942" s="16"/>
      <c r="Q942" s="16"/>
      <c r="R942" s="16"/>
      <c r="S942" s="16"/>
      <c r="T942" s="16"/>
      <c r="U942" s="16"/>
      <c r="V942" s="16"/>
    </row>
    <row r="943" spans="1:22" ht="13.2">
      <c r="A943" s="12"/>
      <c r="B943" s="46"/>
      <c r="C943" s="12"/>
      <c r="D943" s="15"/>
      <c r="E943" s="15"/>
      <c r="F943" s="15"/>
      <c r="G943" s="16"/>
      <c r="H943" s="16"/>
      <c r="I943" s="16"/>
      <c r="J943" s="16"/>
      <c r="K943" s="16"/>
      <c r="L943" s="16"/>
      <c r="M943" s="15"/>
      <c r="N943" s="16"/>
      <c r="O943" s="16"/>
      <c r="P943" s="16"/>
      <c r="Q943" s="16"/>
      <c r="R943" s="16"/>
      <c r="S943" s="16"/>
      <c r="T943" s="16"/>
      <c r="U943" s="16"/>
      <c r="V943" s="16"/>
    </row>
    <row r="944" spans="1:22" ht="13.2">
      <c r="A944" s="12"/>
      <c r="B944" s="46"/>
      <c r="C944" s="12"/>
      <c r="D944" s="15"/>
      <c r="E944" s="15"/>
      <c r="F944" s="15"/>
      <c r="G944" s="16"/>
      <c r="H944" s="16"/>
      <c r="I944" s="16"/>
      <c r="J944" s="16"/>
      <c r="K944" s="16"/>
      <c r="L944" s="16"/>
      <c r="M944" s="15"/>
      <c r="N944" s="16"/>
      <c r="O944" s="16"/>
      <c r="P944" s="16"/>
      <c r="Q944" s="16"/>
      <c r="R944" s="16"/>
      <c r="S944" s="16"/>
      <c r="T944" s="16"/>
      <c r="U944" s="16"/>
      <c r="V944" s="16"/>
    </row>
    <row r="945" spans="1:22" ht="13.2">
      <c r="A945" s="12"/>
      <c r="B945" s="46"/>
      <c r="C945" s="12"/>
      <c r="D945" s="15"/>
      <c r="E945" s="15"/>
      <c r="F945" s="15"/>
      <c r="G945" s="16"/>
      <c r="H945" s="16"/>
      <c r="I945" s="16"/>
      <c r="J945" s="16"/>
      <c r="K945" s="16"/>
      <c r="L945" s="16"/>
      <c r="M945" s="15"/>
      <c r="N945" s="16"/>
      <c r="O945" s="16"/>
      <c r="P945" s="16"/>
      <c r="Q945" s="16"/>
      <c r="R945" s="16"/>
      <c r="S945" s="16"/>
      <c r="T945" s="16"/>
      <c r="U945" s="16"/>
      <c r="V945" s="16"/>
    </row>
    <row r="946" spans="1:22" ht="13.2">
      <c r="A946" s="12"/>
      <c r="B946" s="46"/>
      <c r="C946" s="12"/>
      <c r="D946" s="15"/>
      <c r="E946" s="15"/>
      <c r="F946" s="15"/>
      <c r="G946" s="16"/>
      <c r="H946" s="16"/>
      <c r="I946" s="16"/>
      <c r="J946" s="16"/>
      <c r="K946" s="16"/>
      <c r="L946" s="16"/>
      <c r="M946" s="15"/>
      <c r="N946" s="16"/>
      <c r="O946" s="16"/>
      <c r="P946" s="16"/>
      <c r="Q946" s="16"/>
      <c r="R946" s="16"/>
      <c r="S946" s="16"/>
      <c r="T946" s="16"/>
      <c r="U946" s="16"/>
      <c r="V946" s="16"/>
    </row>
    <row r="947" spans="1:22" ht="13.2">
      <c r="A947" s="12"/>
      <c r="B947" s="46"/>
      <c r="C947" s="12"/>
      <c r="D947" s="15"/>
      <c r="E947" s="15"/>
      <c r="F947" s="15"/>
      <c r="G947" s="16"/>
      <c r="H947" s="16"/>
      <c r="I947" s="16"/>
      <c r="J947" s="16"/>
      <c r="K947" s="16"/>
      <c r="L947" s="16"/>
      <c r="M947" s="15"/>
      <c r="N947" s="16"/>
      <c r="O947" s="16"/>
      <c r="P947" s="16"/>
      <c r="Q947" s="16"/>
      <c r="R947" s="16"/>
      <c r="S947" s="16"/>
      <c r="T947" s="16"/>
      <c r="U947" s="16"/>
      <c r="V947" s="16"/>
    </row>
    <row r="948" spans="1:22" ht="13.2">
      <c r="A948" s="12"/>
      <c r="B948" s="46"/>
      <c r="C948" s="12"/>
      <c r="D948" s="15"/>
      <c r="E948" s="15"/>
      <c r="F948" s="15"/>
      <c r="G948" s="16"/>
      <c r="H948" s="16"/>
      <c r="I948" s="16"/>
      <c r="J948" s="16"/>
      <c r="K948" s="16"/>
      <c r="L948" s="16"/>
      <c r="M948" s="15"/>
      <c r="N948" s="16"/>
      <c r="O948" s="16"/>
      <c r="P948" s="16"/>
      <c r="Q948" s="16"/>
      <c r="R948" s="16"/>
      <c r="S948" s="16"/>
      <c r="T948" s="16"/>
      <c r="U948" s="16"/>
      <c r="V948" s="16"/>
    </row>
    <row r="949" spans="1:22" ht="13.2">
      <c r="A949" s="12"/>
      <c r="B949" s="46"/>
      <c r="C949" s="12"/>
      <c r="D949" s="15"/>
      <c r="E949" s="15"/>
      <c r="F949" s="15"/>
      <c r="G949" s="16"/>
      <c r="H949" s="16"/>
      <c r="I949" s="16"/>
      <c r="J949" s="16"/>
      <c r="K949" s="16"/>
      <c r="L949" s="16"/>
      <c r="M949" s="15"/>
      <c r="N949" s="16"/>
      <c r="O949" s="16"/>
      <c r="P949" s="16"/>
      <c r="Q949" s="16"/>
      <c r="R949" s="16"/>
      <c r="S949" s="16"/>
      <c r="T949" s="16"/>
      <c r="U949" s="16"/>
      <c r="V949" s="16"/>
    </row>
    <row r="950" spans="1:22" ht="13.2">
      <c r="A950" s="12"/>
      <c r="B950" s="46"/>
      <c r="C950" s="12"/>
      <c r="D950" s="15"/>
      <c r="E950" s="15"/>
      <c r="F950" s="15"/>
      <c r="G950" s="16"/>
      <c r="H950" s="16"/>
      <c r="I950" s="16"/>
      <c r="J950" s="16"/>
      <c r="K950" s="16"/>
      <c r="L950" s="16"/>
      <c r="M950" s="15"/>
      <c r="N950" s="16"/>
      <c r="O950" s="16"/>
      <c r="P950" s="16"/>
      <c r="Q950" s="16"/>
      <c r="R950" s="16"/>
      <c r="S950" s="16"/>
      <c r="T950" s="16"/>
      <c r="U950" s="16"/>
      <c r="V950" s="16"/>
    </row>
    <row r="951" spans="1:22" ht="13.2">
      <c r="A951" s="12"/>
      <c r="B951" s="46"/>
      <c r="C951" s="12"/>
      <c r="D951" s="15"/>
      <c r="E951" s="15"/>
      <c r="F951" s="15"/>
      <c r="G951" s="16"/>
      <c r="H951" s="16"/>
      <c r="I951" s="16"/>
      <c r="J951" s="16"/>
      <c r="K951" s="16"/>
      <c r="L951" s="16"/>
      <c r="M951" s="15"/>
      <c r="N951" s="16"/>
      <c r="O951" s="16"/>
      <c r="P951" s="16"/>
      <c r="Q951" s="16"/>
      <c r="R951" s="16"/>
      <c r="S951" s="16"/>
      <c r="T951" s="16"/>
      <c r="U951" s="16"/>
      <c r="V951" s="16"/>
    </row>
    <row r="952" spans="1:22" ht="13.2">
      <c r="A952" s="12"/>
      <c r="B952" s="46"/>
      <c r="C952" s="12"/>
      <c r="D952" s="15"/>
      <c r="E952" s="15"/>
      <c r="F952" s="15"/>
      <c r="G952" s="16"/>
      <c r="H952" s="16"/>
      <c r="I952" s="16"/>
      <c r="J952" s="16"/>
      <c r="K952" s="16"/>
      <c r="L952" s="16"/>
      <c r="M952" s="15"/>
      <c r="N952" s="16"/>
      <c r="O952" s="16"/>
      <c r="P952" s="16"/>
      <c r="Q952" s="16"/>
      <c r="R952" s="16"/>
      <c r="S952" s="16"/>
      <c r="T952" s="16"/>
      <c r="U952" s="16"/>
      <c r="V952" s="16"/>
    </row>
    <row r="953" spans="1:22" ht="13.2">
      <c r="A953" s="12"/>
      <c r="B953" s="46"/>
      <c r="C953" s="12"/>
      <c r="D953" s="15"/>
      <c r="E953" s="15"/>
      <c r="F953" s="15"/>
      <c r="G953" s="16"/>
      <c r="H953" s="16"/>
      <c r="I953" s="16"/>
      <c r="J953" s="16"/>
      <c r="K953" s="16"/>
      <c r="L953" s="16"/>
      <c r="M953" s="15"/>
      <c r="N953" s="16"/>
      <c r="O953" s="16"/>
      <c r="P953" s="16"/>
      <c r="Q953" s="16"/>
      <c r="R953" s="16"/>
      <c r="S953" s="16"/>
      <c r="T953" s="16"/>
      <c r="U953" s="16"/>
      <c r="V953" s="16"/>
    </row>
    <row r="954" spans="1:22" ht="13.2">
      <c r="A954" s="12"/>
      <c r="B954" s="46"/>
      <c r="C954" s="12"/>
      <c r="D954" s="15"/>
      <c r="E954" s="15"/>
      <c r="F954" s="15"/>
      <c r="G954" s="16"/>
      <c r="H954" s="16"/>
      <c r="I954" s="16"/>
      <c r="J954" s="16"/>
      <c r="K954" s="16"/>
      <c r="L954" s="16"/>
      <c r="M954" s="15"/>
      <c r="N954" s="16"/>
      <c r="O954" s="16"/>
      <c r="P954" s="16"/>
      <c r="Q954" s="16"/>
      <c r="R954" s="16"/>
      <c r="S954" s="16"/>
      <c r="T954" s="16"/>
      <c r="U954" s="16"/>
      <c r="V954" s="16"/>
    </row>
    <row r="955" spans="1:22" ht="13.2">
      <c r="A955" s="12"/>
      <c r="B955" s="46"/>
      <c r="C955" s="12"/>
      <c r="D955" s="15"/>
      <c r="E955" s="15"/>
      <c r="F955" s="15"/>
      <c r="G955" s="16"/>
      <c r="H955" s="16"/>
      <c r="I955" s="16"/>
      <c r="J955" s="16"/>
      <c r="K955" s="16"/>
      <c r="L955" s="16"/>
      <c r="M955" s="15"/>
      <c r="N955" s="16"/>
      <c r="O955" s="16"/>
      <c r="P955" s="16"/>
      <c r="Q955" s="16"/>
      <c r="R955" s="16"/>
      <c r="S955" s="16"/>
      <c r="T955" s="16"/>
      <c r="U955" s="16"/>
      <c r="V955" s="16"/>
    </row>
    <row r="956" spans="1:22" ht="13.2">
      <c r="A956" s="12"/>
      <c r="B956" s="46"/>
      <c r="C956" s="12"/>
      <c r="D956" s="15"/>
      <c r="E956" s="15"/>
      <c r="F956" s="15"/>
      <c r="G956" s="16"/>
      <c r="H956" s="16"/>
      <c r="I956" s="16"/>
      <c r="J956" s="16"/>
      <c r="K956" s="16"/>
      <c r="L956" s="16"/>
      <c r="M956" s="15"/>
      <c r="N956" s="16"/>
      <c r="O956" s="16"/>
      <c r="P956" s="16"/>
      <c r="Q956" s="16"/>
      <c r="R956" s="16"/>
      <c r="S956" s="16"/>
      <c r="T956" s="16"/>
      <c r="U956" s="16"/>
      <c r="V956" s="16"/>
    </row>
    <row r="957" spans="1:22" ht="13.2">
      <c r="A957" s="12"/>
      <c r="B957" s="46"/>
      <c r="C957" s="12"/>
      <c r="D957" s="15"/>
      <c r="E957" s="15"/>
      <c r="F957" s="15"/>
      <c r="G957" s="16"/>
      <c r="H957" s="16"/>
      <c r="I957" s="16"/>
      <c r="J957" s="16"/>
      <c r="K957" s="16"/>
      <c r="L957" s="16"/>
      <c r="M957" s="15"/>
      <c r="N957" s="16"/>
      <c r="O957" s="16"/>
      <c r="P957" s="16"/>
      <c r="Q957" s="16"/>
      <c r="R957" s="16"/>
      <c r="S957" s="16"/>
      <c r="T957" s="16"/>
      <c r="U957" s="16"/>
      <c r="V957" s="16"/>
    </row>
    <row r="958" spans="1:22" ht="13.2">
      <c r="A958" s="12"/>
      <c r="B958" s="46"/>
      <c r="C958" s="12"/>
      <c r="D958" s="15"/>
      <c r="E958" s="15"/>
      <c r="F958" s="15"/>
      <c r="G958" s="16"/>
      <c r="H958" s="16"/>
      <c r="I958" s="16"/>
      <c r="J958" s="16"/>
      <c r="K958" s="16"/>
      <c r="L958" s="16"/>
      <c r="M958" s="15"/>
      <c r="N958" s="16"/>
      <c r="O958" s="16"/>
      <c r="P958" s="16"/>
      <c r="Q958" s="16"/>
      <c r="R958" s="16"/>
      <c r="S958" s="16"/>
      <c r="T958" s="16"/>
      <c r="U958" s="16"/>
      <c r="V958" s="16"/>
    </row>
    <row r="959" spans="1:22" ht="13.2">
      <c r="A959" s="12"/>
      <c r="B959" s="46"/>
      <c r="C959" s="12"/>
      <c r="D959" s="15"/>
      <c r="E959" s="15"/>
      <c r="F959" s="15"/>
      <c r="G959" s="16"/>
      <c r="H959" s="16"/>
      <c r="I959" s="16"/>
      <c r="J959" s="16"/>
      <c r="K959" s="16"/>
      <c r="L959" s="16"/>
      <c r="M959" s="15"/>
      <c r="N959" s="16"/>
      <c r="O959" s="16"/>
      <c r="P959" s="16"/>
      <c r="Q959" s="16"/>
      <c r="R959" s="16"/>
      <c r="S959" s="16"/>
      <c r="T959" s="16"/>
      <c r="U959" s="16"/>
      <c r="V959" s="16"/>
    </row>
    <row r="960" spans="1:22" ht="13.2">
      <c r="A960" s="12"/>
      <c r="B960" s="46"/>
      <c r="C960" s="12"/>
      <c r="D960" s="15"/>
      <c r="E960" s="15"/>
      <c r="F960" s="15"/>
      <c r="G960" s="16"/>
      <c r="H960" s="16"/>
      <c r="I960" s="16"/>
      <c r="J960" s="16"/>
      <c r="K960" s="16"/>
      <c r="L960" s="16"/>
      <c r="M960" s="15"/>
      <c r="N960" s="16"/>
      <c r="O960" s="16"/>
      <c r="P960" s="16"/>
      <c r="Q960" s="16"/>
      <c r="R960" s="16"/>
      <c r="S960" s="16"/>
      <c r="T960" s="16"/>
      <c r="U960" s="16"/>
      <c r="V960" s="16"/>
    </row>
    <row r="961" spans="1:22" ht="13.2">
      <c r="A961" s="12"/>
      <c r="B961" s="46"/>
      <c r="C961" s="12"/>
      <c r="D961" s="15"/>
      <c r="E961" s="15"/>
      <c r="F961" s="15"/>
      <c r="G961" s="16"/>
      <c r="H961" s="16"/>
      <c r="I961" s="16"/>
      <c r="J961" s="16"/>
      <c r="K961" s="16"/>
      <c r="L961" s="16"/>
      <c r="M961" s="15"/>
      <c r="N961" s="16"/>
      <c r="O961" s="16"/>
      <c r="P961" s="16"/>
      <c r="Q961" s="16"/>
      <c r="R961" s="16"/>
      <c r="S961" s="16"/>
      <c r="T961" s="16"/>
      <c r="U961" s="16"/>
      <c r="V961" s="16"/>
    </row>
    <row r="962" spans="1:22" ht="13.2">
      <c r="A962" s="12"/>
      <c r="B962" s="46"/>
      <c r="C962" s="12"/>
      <c r="D962" s="15"/>
      <c r="E962" s="15"/>
      <c r="F962" s="15"/>
      <c r="G962" s="16"/>
      <c r="H962" s="16"/>
      <c r="I962" s="16"/>
      <c r="J962" s="16"/>
      <c r="K962" s="16"/>
      <c r="L962" s="16"/>
      <c r="M962" s="15"/>
      <c r="N962" s="16"/>
      <c r="O962" s="16"/>
      <c r="P962" s="16"/>
      <c r="Q962" s="16"/>
      <c r="R962" s="16"/>
      <c r="S962" s="16"/>
      <c r="T962" s="16"/>
      <c r="U962" s="16"/>
      <c r="V962" s="16"/>
    </row>
    <row r="963" spans="1:22" ht="13.2">
      <c r="A963" s="12"/>
      <c r="B963" s="46"/>
      <c r="C963" s="12"/>
      <c r="D963" s="15"/>
      <c r="E963" s="15"/>
      <c r="F963" s="15"/>
      <c r="G963" s="16"/>
      <c r="H963" s="16"/>
      <c r="I963" s="16"/>
      <c r="J963" s="16"/>
      <c r="K963" s="16"/>
      <c r="L963" s="16"/>
      <c r="M963" s="15"/>
      <c r="N963" s="16"/>
      <c r="O963" s="16"/>
      <c r="P963" s="16"/>
      <c r="Q963" s="16"/>
      <c r="R963" s="16"/>
      <c r="S963" s="16"/>
      <c r="T963" s="16"/>
      <c r="U963" s="16"/>
      <c r="V963" s="16"/>
    </row>
    <row r="964" spans="1:22" ht="13.2">
      <c r="A964" s="12"/>
      <c r="B964" s="46"/>
      <c r="C964" s="12"/>
      <c r="D964" s="15"/>
      <c r="E964" s="15"/>
      <c r="F964" s="15"/>
      <c r="G964" s="16"/>
      <c r="H964" s="16"/>
      <c r="I964" s="16"/>
      <c r="J964" s="16"/>
      <c r="K964" s="16"/>
      <c r="L964" s="16"/>
      <c r="M964" s="15"/>
      <c r="N964" s="16"/>
      <c r="O964" s="16"/>
      <c r="P964" s="16"/>
      <c r="Q964" s="16"/>
      <c r="R964" s="16"/>
      <c r="S964" s="16"/>
      <c r="T964" s="16"/>
      <c r="U964" s="16"/>
      <c r="V964" s="16"/>
    </row>
    <row r="965" spans="1:22" ht="13.2">
      <c r="A965" s="12"/>
      <c r="B965" s="46"/>
      <c r="C965" s="12"/>
      <c r="D965" s="15"/>
      <c r="E965" s="15"/>
      <c r="F965" s="15"/>
      <c r="G965" s="16"/>
      <c r="H965" s="16"/>
      <c r="I965" s="16"/>
      <c r="J965" s="16"/>
      <c r="K965" s="16"/>
      <c r="L965" s="16"/>
      <c r="M965" s="15"/>
      <c r="N965" s="16"/>
      <c r="O965" s="16"/>
      <c r="P965" s="16"/>
      <c r="Q965" s="16"/>
      <c r="R965" s="16"/>
      <c r="S965" s="16"/>
      <c r="T965" s="16"/>
      <c r="U965" s="16"/>
      <c r="V965" s="16"/>
    </row>
    <row r="966" spans="1:22" ht="13.2">
      <c r="A966" s="12"/>
      <c r="B966" s="46"/>
      <c r="C966" s="12"/>
      <c r="D966" s="15"/>
      <c r="E966" s="15"/>
      <c r="F966" s="15"/>
      <c r="G966" s="16"/>
      <c r="H966" s="16"/>
      <c r="I966" s="16"/>
      <c r="J966" s="16"/>
      <c r="K966" s="16"/>
      <c r="L966" s="16"/>
      <c r="M966" s="15"/>
      <c r="N966" s="16"/>
      <c r="O966" s="16"/>
      <c r="P966" s="16"/>
      <c r="Q966" s="16"/>
      <c r="R966" s="16"/>
      <c r="S966" s="16"/>
      <c r="T966" s="16"/>
      <c r="U966" s="16"/>
      <c r="V966" s="16"/>
    </row>
    <row r="967" spans="1:22" ht="13.2">
      <c r="A967" s="12"/>
      <c r="B967" s="46"/>
      <c r="C967" s="12"/>
      <c r="D967" s="15"/>
      <c r="E967" s="15"/>
      <c r="F967" s="15"/>
      <c r="G967" s="16"/>
      <c r="H967" s="16"/>
      <c r="I967" s="16"/>
      <c r="J967" s="16"/>
      <c r="K967" s="16"/>
      <c r="L967" s="16"/>
      <c r="M967" s="15"/>
      <c r="N967" s="16"/>
      <c r="O967" s="16"/>
      <c r="P967" s="16"/>
      <c r="Q967" s="16"/>
      <c r="R967" s="16"/>
      <c r="S967" s="16"/>
      <c r="T967" s="16"/>
      <c r="U967" s="16"/>
      <c r="V967" s="16"/>
    </row>
    <row r="968" spans="1:22" ht="13.2">
      <c r="A968" s="12"/>
      <c r="B968" s="46"/>
      <c r="C968" s="12"/>
      <c r="D968" s="15"/>
      <c r="E968" s="15"/>
      <c r="F968" s="15"/>
      <c r="G968" s="16"/>
      <c r="H968" s="16"/>
      <c r="I968" s="16"/>
      <c r="J968" s="16"/>
      <c r="K968" s="16"/>
      <c r="L968" s="16"/>
      <c r="M968" s="15"/>
      <c r="N968" s="16"/>
      <c r="O968" s="16"/>
      <c r="P968" s="16"/>
      <c r="Q968" s="16"/>
      <c r="R968" s="16"/>
      <c r="S968" s="16"/>
      <c r="T968" s="16"/>
      <c r="U968" s="16"/>
      <c r="V968" s="16"/>
    </row>
    <row r="969" spans="1:22" ht="13.2">
      <c r="A969" s="12"/>
      <c r="B969" s="46"/>
      <c r="C969" s="12"/>
      <c r="D969" s="15"/>
      <c r="E969" s="15"/>
      <c r="F969" s="15"/>
      <c r="G969" s="16"/>
      <c r="H969" s="16"/>
      <c r="I969" s="16"/>
      <c r="J969" s="16"/>
      <c r="K969" s="16"/>
      <c r="L969" s="16"/>
      <c r="M969" s="15"/>
      <c r="N969" s="16"/>
      <c r="O969" s="16"/>
      <c r="P969" s="16"/>
      <c r="Q969" s="16"/>
      <c r="R969" s="16"/>
      <c r="S969" s="16"/>
      <c r="T969" s="16"/>
      <c r="U969" s="16"/>
      <c r="V969" s="16"/>
    </row>
    <row r="970" spans="1:22" ht="13.2">
      <c r="A970" s="12"/>
      <c r="B970" s="46"/>
      <c r="C970" s="12"/>
      <c r="D970" s="15"/>
      <c r="E970" s="15"/>
      <c r="F970" s="15"/>
      <c r="G970" s="16"/>
      <c r="H970" s="16"/>
      <c r="I970" s="16"/>
      <c r="J970" s="16"/>
      <c r="K970" s="16"/>
      <c r="L970" s="16"/>
      <c r="M970" s="15"/>
      <c r="N970" s="16"/>
      <c r="O970" s="16"/>
      <c r="P970" s="16"/>
      <c r="Q970" s="16"/>
      <c r="R970" s="16"/>
      <c r="S970" s="16"/>
      <c r="T970" s="16"/>
      <c r="U970" s="16"/>
      <c r="V970" s="16"/>
    </row>
    <row r="971" spans="1:22" ht="13.2">
      <c r="A971" s="12"/>
      <c r="B971" s="46"/>
      <c r="C971" s="12"/>
      <c r="D971" s="15"/>
      <c r="E971" s="15"/>
      <c r="F971" s="15"/>
      <c r="G971" s="16"/>
      <c r="H971" s="16"/>
      <c r="I971" s="16"/>
      <c r="J971" s="16"/>
      <c r="K971" s="16"/>
      <c r="L971" s="16"/>
      <c r="M971" s="15"/>
      <c r="N971" s="16"/>
      <c r="O971" s="16"/>
      <c r="P971" s="16"/>
      <c r="Q971" s="16"/>
      <c r="R971" s="16"/>
      <c r="S971" s="16"/>
      <c r="T971" s="16"/>
      <c r="U971" s="16"/>
      <c r="V971" s="16"/>
    </row>
    <row r="972" spans="1:22" ht="13.2">
      <c r="A972" s="12"/>
      <c r="B972" s="46"/>
      <c r="C972" s="12"/>
      <c r="D972" s="15"/>
      <c r="E972" s="15"/>
      <c r="F972" s="15"/>
      <c r="G972" s="16"/>
      <c r="H972" s="16"/>
      <c r="I972" s="16"/>
      <c r="J972" s="16"/>
      <c r="K972" s="16"/>
      <c r="L972" s="16"/>
      <c r="M972" s="15"/>
      <c r="N972" s="16"/>
      <c r="O972" s="16"/>
      <c r="P972" s="16"/>
      <c r="Q972" s="16"/>
      <c r="R972" s="16"/>
      <c r="S972" s="16"/>
      <c r="T972" s="16"/>
      <c r="U972" s="16"/>
      <c r="V972" s="16"/>
    </row>
    <row r="973" spans="1:22" ht="13.2">
      <c r="A973" s="12"/>
      <c r="B973" s="46"/>
      <c r="C973" s="12"/>
      <c r="D973" s="15"/>
      <c r="E973" s="15"/>
      <c r="F973" s="15"/>
      <c r="G973" s="16"/>
      <c r="H973" s="16"/>
      <c r="I973" s="16"/>
      <c r="J973" s="16"/>
      <c r="K973" s="16"/>
      <c r="L973" s="16"/>
      <c r="M973" s="15"/>
      <c r="N973" s="16"/>
      <c r="O973" s="16"/>
      <c r="P973" s="16"/>
      <c r="Q973" s="16"/>
      <c r="R973" s="16"/>
      <c r="S973" s="16"/>
      <c r="T973" s="16"/>
      <c r="U973" s="16"/>
      <c r="V973" s="16"/>
    </row>
    <row r="974" spans="1:22" ht="13.2">
      <c r="A974" s="12"/>
      <c r="B974" s="46"/>
      <c r="C974" s="12"/>
      <c r="D974" s="15"/>
      <c r="E974" s="15"/>
      <c r="F974" s="15"/>
      <c r="G974" s="16"/>
      <c r="H974" s="16"/>
      <c r="I974" s="16"/>
      <c r="J974" s="16"/>
      <c r="K974" s="16"/>
      <c r="L974" s="16"/>
      <c r="M974" s="15"/>
      <c r="N974" s="16"/>
      <c r="O974" s="16"/>
      <c r="P974" s="16"/>
      <c r="Q974" s="16"/>
      <c r="R974" s="16"/>
      <c r="S974" s="16"/>
      <c r="T974" s="16"/>
      <c r="U974" s="16"/>
      <c r="V974" s="16"/>
    </row>
    <row r="975" spans="1:22" ht="13.2">
      <c r="A975" s="12"/>
      <c r="B975" s="46"/>
      <c r="C975" s="12"/>
      <c r="D975" s="15"/>
      <c r="E975" s="15"/>
      <c r="F975" s="15"/>
      <c r="G975" s="16"/>
      <c r="H975" s="16"/>
      <c r="I975" s="16"/>
      <c r="J975" s="16"/>
      <c r="K975" s="16"/>
      <c r="L975" s="16"/>
      <c r="M975" s="15"/>
      <c r="N975" s="16"/>
      <c r="O975" s="16"/>
      <c r="P975" s="16"/>
      <c r="Q975" s="16"/>
      <c r="R975" s="16"/>
      <c r="S975" s="16"/>
      <c r="T975" s="16"/>
      <c r="U975" s="16"/>
      <c r="V975" s="16"/>
    </row>
    <row r="976" spans="1:22" ht="13.2">
      <c r="A976" s="12"/>
      <c r="B976" s="46"/>
      <c r="C976" s="12"/>
      <c r="D976" s="15"/>
      <c r="E976" s="15"/>
      <c r="F976" s="15"/>
      <c r="G976" s="16"/>
      <c r="H976" s="16"/>
      <c r="I976" s="16"/>
      <c r="J976" s="16"/>
      <c r="K976" s="16"/>
      <c r="L976" s="16"/>
      <c r="M976" s="15"/>
      <c r="N976" s="16"/>
      <c r="O976" s="16"/>
      <c r="P976" s="16"/>
      <c r="Q976" s="16"/>
      <c r="R976" s="16"/>
      <c r="S976" s="16"/>
      <c r="T976" s="16"/>
      <c r="U976" s="16"/>
      <c r="V976" s="16"/>
    </row>
    <row r="977" spans="1:22" ht="13.2">
      <c r="A977" s="12"/>
      <c r="B977" s="46"/>
      <c r="C977" s="12"/>
      <c r="D977" s="15"/>
      <c r="E977" s="15"/>
      <c r="F977" s="15"/>
      <c r="G977" s="16"/>
      <c r="H977" s="16"/>
      <c r="I977" s="16"/>
      <c r="J977" s="16"/>
      <c r="K977" s="16"/>
      <c r="L977" s="16"/>
      <c r="M977" s="15"/>
      <c r="N977" s="16"/>
      <c r="O977" s="16"/>
      <c r="P977" s="16"/>
      <c r="Q977" s="16"/>
      <c r="R977" s="16"/>
      <c r="S977" s="16"/>
      <c r="T977" s="16"/>
      <c r="U977" s="16"/>
      <c r="V977" s="16"/>
    </row>
    <row r="978" spans="1:22" ht="13.2">
      <c r="A978" s="12"/>
      <c r="B978" s="46"/>
      <c r="C978" s="12"/>
      <c r="D978" s="15"/>
      <c r="E978" s="15"/>
      <c r="F978" s="15"/>
      <c r="G978" s="16"/>
      <c r="H978" s="16"/>
      <c r="I978" s="16"/>
      <c r="J978" s="16"/>
      <c r="K978" s="16"/>
      <c r="L978" s="16"/>
      <c r="M978" s="15"/>
      <c r="N978" s="16"/>
      <c r="O978" s="16"/>
      <c r="P978" s="16"/>
      <c r="Q978" s="16"/>
      <c r="R978" s="16"/>
      <c r="S978" s="16"/>
      <c r="T978" s="16"/>
      <c r="U978" s="16"/>
      <c r="V978" s="16"/>
    </row>
    <row r="979" spans="1:22" ht="13.2">
      <c r="A979" s="12"/>
      <c r="B979" s="46"/>
      <c r="C979" s="12"/>
      <c r="D979" s="15"/>
      <c r="E979" s="15"/>
      <c r="F979" s="15"/>
      <c r="G979" s="16"/>
      <c r="H979" s="16"/>
      <c r="I979" s="16"/>
      <c r="J979" s="16"/>
      <c r="K979" s="16"/>
      <c r="L979" s="16"/>
      <c r="M979" s="15"/>
      <c r="N979" s="16"/>
      <c r="O979" s="16"/>
      <c r="P979" s="16"/>
      <c r="Q979" s="16"/>
      <c r="R979" s="16"/>
      <c r="S979" s="16"/>
      <c r="T979" s="16"/>
      <c r="U979" s="16"/>
      <c r="V979" s="16"/>
    </row>
  </sheetData>
  <autoFilter ref="A1:V192" xr:uid="{00000000-0009-0000-0000-000004000000}">
    <filterColumn colId="2">
      <filters>
        <filter val="2"/>
      </filters>
    </filterColumn>
  </autoFilter>
  <dataValidations count="2">
    <dataValidation type="list" allowBlank="1" showErrorMessage="1" sqref="D3:D77" xr:uid="{00000000-0002-0000-0400-000000000000}">
      <formula1>"Healthcare,Education,Household Service,Health &amp; Fitness,Community,Civil Service,Sustainability,Family,Travel,Finance,Food"</formula1>
    </dataValidation>
    <dataValidation type="list" allowBlank="1" showErrorMessage="1" sqref="G3:G77 K3:K77" xr:uid="{00000000-0002-0000-0400-000001000000}">
      <formula1>"Yes,No"</formula1>
    </dataValidation>
  </dataValidations>
  <hyperlinks>
    <hyperlink ref="N18" r:id="rId1" xr:uid="{00000000-0004-0000-0400-000000000000}"/>
    <hyperlink ref="N19" r:id="rId2" xr:uid="{00000000-0004-0000-0400-000001000000}"/>
    <hyperlink ref="N20" r:id="rId3" xr:uid="{00000000-0004-0000-0400-000002000000}"/>
    <hyperlink ref="N21" r:id="rId4" xr:uid="{00000000-0004-0000-0400-000003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E4"/>
  <sheetViews>
    <sheetView workbookViewId="0"/>
  </sheetViews>
  <sheetFormatPr defaultColWidth="12.6640625" defaultRowHeight="15.75" customHeight="1"/>
  <sheetData>
    <row r="1" spans="1:31" ht="42" customHeight="1">
      <c r="A1" s="100"/>
      <c r="B1" s="101"/>
      <c r="C1" s="102"/>
      <c r="D1" s="103"/>
      <c r="E1" s="103"/>
      <c r="F1" s="103"/>
      <c r="G1" s="104"/>
      <c r="H1" s="105"/>
      <c r="I1" s="105"/>
      <c r="J1" s="105"/>
      <c r="K1" s="105"/>
      <c r="L1" s="106"/>
      <c r="M1" s="103"/>
      <c r="N1" s="103"/>
      <c r="O1" s="103"/>
      <c r="P1" s="149" t="s">
        <v>485</v>
      </c>
      <c r="Q1" s="140"/>
      <c r="R1" s="141"/>
      <c r="S1" s="150" t="s">
        <v>486</v>
      </c>
      <c r="T1" s="140"/>
      <c r="U1" s="141"/>
      <c r="V1" s="151" t="s">
        <v>0</v>
      </c>
      <c r="W1" s="140"/>
      <c r="X1" s="141"/>
      <c r="Y1" s="150" t="s">
        <v>487</v>
      </c>
      <c r="Z1" s="140"/>
      <c r="AA1" s="140"/>
      <c r="AB1" s="140"/>
      <c r="AC1" s="141"/>
      <c r="AD1" s="152" t="s">
        <v>1</v>
      </c>
      <c r="AE1" s="107"/>
    </row>
    <row r="2" spans="1:31" ht="42" customHeight="1">
      <c r="A2" s="108"/>
      <c r="B2" s="109" t="s">
        <v>244</v>
      </c>
      <c r="C2" s="108" t="s">
        <v>2</v>
      </c>
      <c r="D2" s="110" t="s">
        <v>3</v>
      </c>
      <c r="E2" s="110" t="s">
        <v>4</v>
      </c>
      <c r="F2" s="110" t="s">
        <v>245</v>
      </c>
      <c r="G2" s="104" t="s">
        <v>249</v>
      </c>
      <c r="H2" s="111" t="s">
        <v>5</v>
      </c>
      <c r="I2" s="112" t="s">
        <v>6</v>
      </c>
      <c r="J2" s="112" t="s">
        <v>250</v>
      </c>
      <c r="K2" s="112" t="s">
        <v>251</v>
      </c>
      <c r="L2" s="106" t="s">
        <v>488</v>
      </c>
      <c r="M2" s="110" t="s">
        <v>7</v>
      </c>
      <c r="N2" s="110" t="s">
        <v>8</v>
      </c>
      <c r="O2" s="110" t="s">
        <v>9</v>
      </c>
      <c r="P2" s="113" t="s">
        <v>10</v>
      </c>
      <c r="Q2" s="114" t="s">
        <v>11</v>
      </c>
      <c r="R2" s="114" t="s">
        <v>12</v>
      </c>
      <c r="S2" s="115" t="s">
        <v>13</v>
      </c>
      <c r="T2" s="115" t="s">
        <v>14</v>
      </c>
      <c r="U2" s="115" t="s">
        <v>489</v>
      </c>
      <c r="V2" s="114" t="s">
        <v>15</v>
      </c>
      <c r="W2" s="114" t="s">
        <v>16</v>
      </c>
      <c r="X2" s="114" t="s">
        <v>17</v>
      </c>
      <c r="Y2" s="115" t="s">
        <v>490</v>
      </c>
      <c r="Z2" s="115" t="s">
        <v>491</v>
      </c>
      <c r="AA2" s="115" t="s">
        <v>492</v>
      </c>
      <c r="AB2" s="115" t="s">
        <v>493</v>
      </c>
      <c r="AC2" s="115" t="s">
        <v>494</v>
      </c>
      <c r="AD2" s="142"/>
      <c r="AE2" s="107"/>
    </row>
    <row r="3" spans="1:31" ht="39.6">
      <c r="A3" s="6"/>
      <c r="B3" s="116"/>
      <c r="C3" s="6"/>
      <c r="D3" s="6"/>
      <c r="E3" s="6" t="s">
        <v>252</v>
      </c>
      <c r="F3" s="6" t="s">
        <v>252</v>
      </c>
      <c r="G3" s="6"/>
      <c r="H3" s="7" t="s">
        <v>255</v>
      </c>
      <c r="I3" s="7" t="s">
        <v>255</v>
      </c>
      <c r="J3" s="7" t="s">
        <v>255</v>
      </c>
      <c r="K3" s="7" t="s">
        <v>255</v>
      </c>
      <c r="L3" s="6" t="s">
        <v>495</v>
      </c>
      <c r="M3" s="6" t="s">
        <v>254</v>
      </c>
      <c r="N3" s="6" t="s">
        <v>254</v>
      </c>
      <c r="O3" s="6" t="s">
        <v>254</v>
      </c>
      <c r="P3" s="8" t="s">
        <v>18</v>
      </c>
      <c r="Q3" s="8" t="s">
        <v>18</v>
      </c>
      <c r="R3" s="8" t="s">
        <v>18</v>
      </c>
      <c r="S3" s="8" t="s">
        <v>18</v>
      </c>
      <c r="T3" s="8" t="s">
        <v>18</v>
      </c>
      <c r="U3" s="8" t="s">
        <v>18</v>
      </c>
      <c r="V3" s="9" t="s">
        <v>18</v>
      </c>
      <c r="W3" s="9" t="s">
        <v>18</v>
      </c>
      <c r="X3" s="9" t="s">
        <v>18</v>
      </c>
      <c r="Y3" s="10" t="s">
        <v>19</v>
      </c>
      <c r="Z3" s="10" t="s">
        <v>19</v>
      </c>
      <c r="AA3" s="10" t="s">
        <v>19</v>
      </c>
      <c r="AB3" s="10" t="s">
        <v>19</v>
      </c>
      <c r="AC3" s="10" t="s">
        <v>19</v>
      </c>
      <c r="AD3" s="10" t="s">
        <v>19</v>
      </c>
      <c r="AE3" s="11"/>
    </row>
    <row r="4" spans="1:31" ht="409.6">
      <c r="A4" s="12">
        <v>29</v>
      </c>
      <c r="B4" s="117" t="s">
        <v>444</v>
      </c>
      <c r="C4" s="14">
        <v>5</v>
      </c>
      <c r="D4" s="26" t="s">
        <v>496</v>
      </c>
      <c r="E4" s="26" t="s">
        <v>445</v>
      </c>
      <c r="F4" s="15" t="s">
        <v>446</v>
      </c>
      <c r="G4" s="15" t="s">
        <v>497</v>
      </c>
      <c r="H4" s="15"/>
      <c r="I4" s="15"/>
      <c r="J4" s="15"/>
      <c r="K4" s="15"/>
      <c r="L4" s="15" t="s">
        <v>24</v>
      </c>
      <c r="M4" s="15"/>
      <c r="N4" s="15"/>
      <c r="O4" s="15"/>
      <c r="P4" s="66"/>
      <c r="Q4" s="21"/>
      <c r="R4" s="21"/>
      <c r="S4" s="21" t="s">
        <v>45</v>
      </c>
      <c r="T4" s="21"/>
      <c r="U4" s="21"/>
      <c r="V4" s="20"/>
      <c r="W4" s="20"/>
      <c r="X4" s="20"/>
      <c r="Y4" s="21"/>
      <c r="Z4" s="21"/>
      <c r="AA4" s="21"/>
      <c r="AB4" s="21"/>
      <c r="AC4" s="21"/>
      <c r="AD4" s="21"/>
      <c r="AE4" s="23"/>
    </row>
  </sheetData>
  <mergeCells count="5">
    <mergeCell ref="P1:R1"/>
    <mergeCell ref="S1:U1"/>
    <mergeCell ref="V1:X1"/>
    <mergeCell ref="Y1:AC1"/>
    <mergeCell ref="AD1:AD2"/>
  </mergeCells>
  <conditionalFormatting sqref="P1:P3 L1:L4 Q3:X3">
    <cfRule type="containsText" dxfId="1" priority="1" operator="containsText" text="Pass">
      <formula>NOT(ISERROR(SEARCH(("Pass"),(L1))))</formula>
    </cfRule>
  </conditionalFormatting>
  <dataValidations count="3">
    <dataValidation type="list" allowBlank="1" showErrorMessage="1" sqref="D4" xr:uid="{00000000-0002-0000-0500-000000000000}">
      <formula1>"Food/ Drinks,Health,Finance,Environment,Education,Social Needs,Work,Sports,Others"</formula1>
    </dataValidation>
    <dataValidation type="list" allowBlank="1" showErrorMessage="1" sqref="P4:U4" xr:uid="{00000000-0002-0000-0500-000001000000}">
      <formula1>"Passed,Yet to Pass"</formula1>
    </dataValidation>
    <dataValidation type="list" allowBlank="1" showErrorMessage="1" sqref="Y4:AD4" xr:uid="{00000000-0002-0000-0500-000002000000}">
      <formula1>"Pass,Yet to Pass"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outlinePr summaryBelow="0" summaryRight="0"/>
  </sheetPr>
  <dimension ref="A1:AE78"/>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6640625" defaultRowHeight="15.75" customHeight="1"/>
  <cols>
    <col min="1" max="1" width="3.33203125" customWidth="1"/>
    <col min="2" max="2" width="16.77734375" customWidth="1"/>
    <col min="3" max="3" width="8" customWidth="1"/>
    <col min="4" max="4" width="13.109375" customWidth="1"/>
    <col min="5" max="5" width="45" customWidth="1"/>
    <col min="6" max="6" width="45.77734375" customWidth="1"/>
    <col min="7" max="7" width="86.6640625" customWidth="1"/>
    <col min="8" max="8" width="33.21875" customWidth="1"/>
    <col min="9" max="9" width="32" customWidth="1"/>
    <col min="10" max="10" width="29.88671875" customWidth="1"/>
    <col min="11" max="11" width="30.109375" customWidth="1"/>
    <col min="13" max="13" width="24.33203125" customWidth="1"/>
    <col min="14" max="14" width="25.6640625" customWidth="1"/>
    <col min="15" max="15" width="37.21875" customWidth="1"/>
    <col min="16" max="18" width="15.44140625" customWidth="1"/>
    <col min="19" max="21" width="16.21875" customWidth="1"/>
    <col min="22" max="24" width="34.109375" customWidth="1"/>
    <col min="25" max="29" width="15.88671875" customWidth="1"/>
    <col min="31" max="31" width="12.6640625" hidden="1"/>
  </cols>
  <sheetData>
    <row r="1" spans="1:31" ht="42" customHeight="1">
      <c r="A1" s="102" t="s">
        <v>498</v>
      </c>
      <c r="B1" s="118"/>
      <c r="C1" s="102"/>
      <c r="D1" s="103"/>
      <c r="E1" s="103"/>
      <c r="F1" s="103"/>
      <c r="G1" s="104"/>
      <c r="H1" s="105"/>
      <c r="I1" s="105"/>
      <c r="J1" s="105"/>
      <c r="K1" s="105"/>
      <c r="L1" s="106"/>
      <c r="M1" s="103"/>
      <c r="N1" s="103"/>
      <c r="O1" s="103"/>
      <c r="P1" s="149" t="s">
        <v>485</v>
      </c>
      <c r="Q1" s="140"/>
      <c r="R1" s="141"/>
      <c r="S1" s="150" t="s">
        <v>486</v>
      </c>
      <c r="T1" s="140"/>
      <c r="U1" s="141"/>
      <c r="V1" s="151" t="s">
        <v>0</v>
      </c>
      <c r="W1" s="140"/>
      <c r="X1" s="141"/>
      <c r="Y1" s="150" t="s">
        <v>487</v>
      </c>
      <c r="Z1" s="140"/>
      <c r="AA1" s="140"/>
      <c r="AB1" s="140"/>
      <c r="AC1" s="141"/>
      <c r="AD1" s="152" t="s">
        <v>1</v>
      </c>
      <c r="AE1" s="107"/>
    </row>
    <row r="2" spans="1:31" ht="42" customHeight="1">
      <c r="A2" s="108"/>
      <c r="B2" s="119" t="s">
        <v>244</v>
      </c>
      <c r="C2" s="108" t="s">
        <v>2</v>
      </c>
      <c r="D2" s="110" t="s">
        <v>3</v>
      </c>
      <c r="E2" s="110" t="s">
        <v>4</v>
      </c>
      <c r="F2" s="110" t="s">
        <v>245</v>
      </c>
      <c r="G2" s="104" t="s">
        <v>249</v>
      </c>
      <c r="H2" s="111" t="s">
        <v>5</v>
      </c>
      <c r="I2" s="112" t="s">
        <v>6</v>
      </c>
      <c r="J2" s="112" t="s">
        <v>250</v>
      </c>
      <c r="K2" s="112" t="s">
        <v>251</v>
      </c>
      <c r="L2" s="106" t="s">
        <v>488</v>
      </c>
      <c r="M2" s="110" t="s">
        <v>7</v>
      </c>
      <c r="N2" s="110" t="s">
        <v>8</v>
      </c>
      <c r="O2" s="110" t="s">
        <v>9</v>
      </c>
      <c r="P2" s="113" t="s">
        <v>10</v>
      </c>
      <c r="Q2" s="114" t="s">
        <v>11</v>
      </c>
      <c r="R2" s="114" t="s">
        <v>12</v>
      </c>
      <c r="S2" s="115" t="s">
        <v>13</v>
      </c>
      <c r="T2" s="115" t="s">
        <v>14</v>
      </c>
      <c r="U2" s="115" t="s">
        <v>489</v>
      </c>
      <c r="V2" s="114" t="s">
        <v>15</v>
      </c>
      <c r="W2" s="114" t="s">
        <v>16</v>
      </c>
      <c r="X2" s="114" t="s">
        <v>17</v>
      </c>
      <c r="Y2" s="115" t="s">
        <v>490</v>
      </c>
      <c r="Z2" s="115" t="s">
        <v>491</v>
      </c>
      <c r="AA2" s="115" t="s">
        <v>492</v>
      </c>
      <c r="AB2" s="115" t="s">
        <v>493</v>
      </c>
      <c r="AC2" s="115" t="s">
        <v>494</v>
      </c>
      <c r="AD2" s="142"/>
      <c r="AE2" s="107"/>
    </row>
    <row r="3" spans="1:31" ht="26.4">
      <c r="A3" s="6"/>
      <c r="B3" s="6"/>
      <c r="C3" s="6"/>
      <c r="D3" s="6"/>
      <c r="E3" s="6" t="s">
        <v>252</v>
      </c>
      <c r="F3" s="6" t="s">
        <v>252</v>
      </c>
      <c r="G3" s="6"/>
      <c r="H3" s="7" t="s">
        <v>255</v>
      </c>
      <c r="I3" s="7" t="s">
        <v>255</v>
      </c>
      <c r="J3" s="7" t="s">
        <v>255</v>
      </c>
      <c r="K3" s="7" t="s">
        <v>255</v>
      </c>
      <c r="L3" s="6" t="s">
        <v>495</v>
      </c>
      <c r="M3" s="6" t="s">
        <v>254</v>
      </c>
      <c r="N3" s="6" t="s">
        <v>254</v>
      </c>
      <c r="O3" s="6" t="s">
        <v>254</v>
      </c>
      <c r="P3" s="8" t="s">
        <v>18</v>
      </c>
      <c r="Q3" s="8" t="s">
        <v>18</v>
      </c>
      <c r="R3" s="8" t="s">
        <v>18</v>
      </c>
      <c r="S3" s="8" t="s">
        <v>18</v>
      </c>
      <c r="T3" s="8" t="s">
        <v>18</v>
      </c>
      <c r="U3" s="8" t="s">
        <v>18</v>
      </c>
      <c r="V3" s="8" t="s">
        <v>18</v>
      </c>
      <c r="W3" s="8" t="s">
        <v>18</v>
      </c>
      <c r="X3" s="8" t="s">
        <v>18</v>
      </c>
      <c r="Y3" s="10" t="s">
        <v>19</v>
      </c>
      <c r="Z3" s="10" t="s">
        <v>19</v>
      </c>
      <c r="AA3" s="10" t="s">
        <v>19</v>
      </c>
      <c r="AB3" s="10" t="s">
        <v>19</v>
      </c>
      <c r="AC3" s="10" t="s">
        <v>19</v>
      </c>
      <c r="AD3" s="10" t="s">
        <v>19</v>
      </c>
      <c r="AE3" s="11"/>
    </row>
    <row r="4" spans="1:31" ht="343.2" hidden="1">
      <c r="A4" s="12">
        <v>1</v>
      </c>
      <c r="B4" s="91" t="s">
        <v>256</v>
      </c>
      <c r="C4" s="14">
        <v>1</v>
      </c>
      <c r="D4" s="41" t="s">
        <v>499</v>
      </c>
      <c r="E4" s="41" t="s">
        <v>257</v>
      </c>
      <c r="F4" s="15" t="s">
        <v>258</v>
      </c>
      <c r="G4" s="15" t="s">
        <v>500</v>
      </c>
      <c r="H4" s="15" t="s">
        <v>501</v>
      </c>
      <c r="I4" s="57" t="s">
        <v>502</v>
      </c>
      <c r="J4" s="57" t="s">
        <v>503</v>
      </c>
      <c r="K4" s="120" t="s">
        <v>504</v>
      </c>
      <c r="L4" s="15" t="s">
        <v>24</v>
      </c>
      <c r="M4" s="15" t="s">
        <v>505</v>
      </c>
      <c r="N4" s="18" t="s">
        <v>506</v>
      </c>
      <c r="O4" s="15" t="s">
        <v>507</v>
      </c>
      <c r="P4" s="66"/>
      <c r="Q4" s="21"/>
      <c r="R4" s="21"/>
      <c r="S4" s="21"/>
      <c r="T4" s="21"/>
      <c r="U4" s="21"/>
      <c r="V4" s="21"/>
      <c r="W4" s="21"/>
      <c r="X4" s="21"/>
      <c r="Y4" s="21"/>
      <c r="Z4" s="21"/>
      <c r="AA4" s="21"/>
      <c r="AB4" s="21"/>
      <c r="AC4" s="21"/>
      <c r="AD4" s="21"/>
      <c r="AE4" s="23"/>
    </row>
    <row r="5" spans="1:31" ht="149.25" hidden="1" customHeight="1">
      <c r="A5" s="12">
        <v>2</v>
      </c>
      <c r="B5" s="46" t="s">
        <v>260</v>
      </c>
      <c r="C5" s="14">
        <v>1</v>
      </c>
      <c r="D5" s="15" t="s">
        <v>499</v>
      </c>
      <c r="E5" s="15" t="s">
        <v>508</v>
      </c>
      <c r="F5" s="15" t="s">
        <v>262</v>
      </c>
      <c r="G5" s="15" t="s">
        <v>263</v>
      </c>
      <c r="H5" s="15" t="s">
        <v>509</v>
      </c>
      <c r="I5" s="15" t="s">
        <v>510</v>
      </c>
      <c r="J5" s="121" t="s">
        <v>511</v>
      </c>
      <c r="K5" s="15" t="s">
        <v>512</v>
      </c>
      <c r="L5" s="15" t="s">
        <v>24</v>
      </c>
      <c r="M5" s="15" t="s">
        <v>513</v>
      </c>
      <c r="N5" s="18" t="s">
        <v>514</v>
      </c>
      <c r="O5" s="15" t="s">
        <v>515</v>
      </c>
      <c r="P5" s="66"/>
      <c r="Q5" s="21"/>
      <c r="R5" s="21"/>
      <c r="S5" s="21"/>
      <c r="T5" s="21"/>
      <c r="U5" s="21"/>
      <c r="V5" s="21"/>
      <c r="W5" s="21"/>
      <c r="X5" s="21"/>
      <c r="Y5" s="21"/>
      <c r="Z5" s="21"/>
      <c r="AA5" s="21"/>
      <c r="AB5" s="21"/>
      <c r="AC5" s="21"/>
      <c r="AD5" s="21"/>
      <c r="AE5" s="23"/>
    </row>
    <row r="6" spans="1:31" ht="230.25" hidden="1" customHeight="1">
      <c r="A6" s="12">
        <v>3</v>
      </c>
      <c r="B6" s="46" t="s">
        <v>264</v>
      </c>
      <c r="C6" s="14">
        <v>1</v>
      </c>
      <c r="D6" s="15" t="s">
        <v>516</v>
      </c>
      <c r="E6" s="15" t="s">
        <v>517</v>
      </c>
      <c r="F6" s="15" t="s">
        <v>266</v>
      </c>
      <c r="G6" s="15" t="s">
        <v>267</v>
      </c>
      <c r="H6" s="15" t="s">
        <v>518</v>
      </c>
      <c r="I6" s="15" t="s">
        <v>519</v>
      </c>
      <c r="J6" s="15" t="s">
        <v>520</v>
      </c>
      <c r="K6" s="15" t="s">
        <v>521</v>
      </c>
      <c r="L6" s="15" t="s">
        <v>24</v>
      </c>
      <c r="M6" s="15" t="s">
        <v>522</v>
      </c>
      <c r="N6" s="18" t="s">
        <v>523</v>
      </c>
      <c r="O6" s="15" t="s">
        <v>524</v>
      </c>
      <c r="P6" s="66"/>
      <c r="Q6" s="21"/>
      <c r="R6" s="21"/>
      <c r="S6" s="21"/>
      <c r="T6" s="21"/>
      <c r="U6" s="21"/>
      <c r="V6" s="21"/>
      <c r="W6" s="21"/>
      <c r="X6" s="21"/>
      <c r="Y6" s="21"/>
      <c r="Z6" s="21"/>
      <c r="AA6" s="21"/>
      <c r="AB6" s="21"/>
      <c r="AC6" s="21"/>
      <c r="AD6" s="21"/>
      <c r="AE6" s="23"/>
    </row>
    <row r="7" spans="1:31" ht="409.6" hidden="1">
      <c r="A7" s="12">
        <v>4</v>
      </c>
      <c r="B7" s="26" t="s">
        <v>268</v>
      </c>
      <c r="C7" s="14">
        <v>1</v>
      </c>
      <c r="D7" s="26" t="s">
        <v>499</v>
      </c>
      <c r="E7" s="26" t="s">
        <v>269</v>
      </c>
      <c r="F7" s="26" t="s">
        <v>270</v>
      </c>
      <c r="G7" s="26" t="s">
        <v>525</v>
      </c>
      <c r="H7" s="26" t="s">
        <v>526</v>
      </c>
      <c r="I7" s="26" t="s">
        <v>527</v>
      </c>
      <c r="J7" s="26" t="s">
        <v>528</v>
      </c>
      <c r="K7" s="26" t="s">
        <v>529</v>
      </c>
      <c r="L7" s="26" t="s">
        <v>24</v>
      </c>
      <c r="M7" s="26" t="s">
        <v>530</v>
      </c>
      <c r="N7" s="32" t="s">
        <v>531</v>
      </c>
      <c r="O7" s="26" t="s">
        <v>532</v>
      </c>
      <c r="P7" s="66"/>
      <c r="Q7" s="21"/>
      <c r="R7" s="21"/>
      <c r="S7" s="21"/>
      <c r="T7" s="21"/>
      <c r="U7" s="21"/>
      <c r="V7" s="21"/>
      <c r="W7" s="21"/>
      <c r="X7" s="21"/>
      <c r="Y7" s="21"/>
      <c r="Z7" s="21"/>
      <c r="AA7" s="21"/>
      <c r="AB7" s="21"/>
      <c r="AC7" s="21"/>
      <c r="AD7" s="21"/>
      <c r="AE7" s="23"/>
    </row>
    <row r="8" spans="1:31" ht="409.2" hidden="1">
      <c r="A8" s="12">
        <v>5</v>
      </c>
      <c r="B8" s="26" t="s">
        <v>272</v>
      </c>
      <c r="C8" s="14">
        <v>1</v>
      </c>
      <c r="D8" s="26" t="s">
        <v>516</v>
      </c>
      <c r="E8" s="26" t="s">
        <v>273</v>
      </c>
      <c r="F8" s="26" t="s">
        <v>274</v>
      </c>
      <c r="G8" s="26" t="s">
        <v>533</v>
      </c>
      <c r="H8" s="26" t="s">
        <v>534</v>
      </c>
      <c r="I8" s="26" t="s">
        <v>535</v>
      </c>
      <c r="J8" s="26" t="s">
        <v>536</v>
      </c>
      <c r="K8" s="26" t="s">
        <v>537</v>
      </c>
      <c r="L8" s="26" t="s">
        <v>24</v>
      </c>
      <c r="M8" s="26" t="s">
        <v>538</v>
      </c>
      <c r="N8" s="52" t="s">
        <v>539</v>
      </c>
      <c r="O8" s="26" t="s">
        <v>540</v>
      </c>
      <c r="P8" s="66"/>
      <c r="Q8" s="21"/>
      <c r="R8" s="21"/>
      <c r="S8" s="21"/>
      <c r="T8" s="21"/>
      <c r="U8" s="21"/>
      <c r="V8" s="21"/>
      <c r="W8" s="21"/>
      <c r="X8" s="21"/>
      <c r="Y8" s="21"/>
      <c r="Z8" s="21"/>
      <c r="AA8" s="21"/>
      <c r="AB8" s="21"/>
      <c r="AC8" s="21"/>
      <c r="AD8" s="21"/>
      <c r="AE8" s="23"/>
    </row>
    <row r="9" spans="1:31" ht="409.6" hidden="1">
      <c r="A9" s="12">
        <v>6</v>
      </c>
      <c r="B9" s="41" t="s">
        <v>453</v>
      </c>
      <c r="C9" s="14">
        <v>1</v>
      </c>
      <c r="D9" s="15" t="s">
        <v>541</v>
      </c>
      <c r="E9" s="15" t="s">
        <v>454</v>
      </c>
      <c r="F9" s="15" t="s">
        <v>455</v>
      </c>
      <c r="G9" s="15" t="s">
        <v>542</v>
      </c>
      <c r="H9" s="15" t="s">
        <v>543</v>
      </c>
      <c r="I9" s="15" t="s">
        <v>544</v>
      </c>
      <c r="J9" s="15" t="s">
        <v>545</v>
      </c>
      <c r="K9" s="122" t="s">
        <v>546</v>
      </c>
      <c r="L9" s="15" t="s">
        <v>24</v>
      </c>
      <c r="M9" s="34" t="s">
        <v>547</v>
      </c>
      <c r="N9" s="123" t="s">
        <v>548</v>
      </c>
      <c r="O9" s="15" t="s">
        <v>549</v>
      </c>
      <c r="P9" s="66"/>
      <c r="Q9" s="21"/>
      <c r="R9" s="21"/>
      <c r="S9" s="21"/>
      <c r="T9" s="21"/>
      <c r="U9" s="21"/>
      <c r="V9" s="21"/>
      <c r="W9" s="21"/>
      <c r="X9" s="21"/>
      <c r="Y9" s="21"/>
      <c r="Z9" s="21"/>
      <c r="AA9" s="21"/>
      <c r="AB9" s="21"/>
      <c r="AC9" s="21"/>
      <c r="AD9" s="21"/>
      <c r="AE9" s="23"/>
    </row>
    <row r="10" spans="1:31" ht="250.8" hidden="1">
      <c r="A10" s="12">
        <v>7</v>
      </c>
      <c r="B10" s="46" t="s">
        <v>276</v>
      </c>
      <c r="C10" s="14">
        <v>2</v>
      </c>
      <c r="D10" s="15" t="s">
        <v>499</v>
      </c>
      <c r="E10" s="15" t="s">
        <v>550</v>
      </c>
      <c r="F10" s="15" t="s">
        <v>278</v>
      </c>
      <c r="G10" s="15" t="s">
        <v>279</v>
      </c>
      <c r="H10" s="15" t="s">
        <v>551</v>
      </c>
      <c r="I10" s="15" t="s">
        <v>552</v>
      </c>
      <c r="J10" s="15" t="s">
        <v>553</v>
      </c>
      <c r="K10" s="122" t="s">
        <v>554</v>
      </c>
      <c r="L10" s="15" t="s">
        <v>24</v>
      </c>
      <c r="M10" s="15" t="s">
        <v>555</v>
      </c>
      <c r="N10" s="18" t="s">
        <v>556</v>
      </c>
      <c r="O10" s="15"/>
      <c r="P10" s="66"/>
      <c r="Q10" s="21"/>
      <c r="R10" s="21"/>
      <c r="S10" s="21"/>
      <c r="T10" s="21"/>
      <c r="U10" s="21"/>
      <c r="V10" s="21"/>
      <c r="W10" s="21"/>
      <c r="X10" s="21"/>
      <c r="Y10" s="21"/>
      <c r="Z10" s="21"/>
      <c r="AA10" s="21"/>
      <c r="AB10" s="21"/>
      <c r="AC10" s="21"/>
      <c r="AD10" s="21"/>
      <c r="AE10" s="23"/>
    </row>
    <row r="11" spans="1:31" ht="343.2" hidden="1">
      <c r="A11" s="12">
        <v>8</v>
      </c>
      <c r="B11" s="46" t="s">
        <v>280</v>
      </c>
      <c r="C11" s="14">
        <v>2</v>
      </c>
      <c r="D11" s="33" t="s">
        <v>541</v>
      </c>
      <c r="E11" s="33" t="s">
        <v>281</v>
      </c>
      <c r="F11" s="15" t="s">
        <v>282</v>
      </c>
      <c r="G11" s="15" t="s">
        <v>283</v>
      </c>
      <c r="H11" s="15" t="s">
        <v>557</v>
      </c>
      <c r="I11" s="15" t="s">
        <v>558</v>
      </c>
      <c r="J11" s="54" t="s">
        <v>559</v>
      </c>
      <c r="K11" s="124" t="s">
        <v>560</v>
      </c>
      <c r="L11" s="15" t="s">
        <v>24</v>
      </c>
      <c r="M11" s="15" t="s">
        <v>561</v>
      </c>
      <c r="N11" s="18" t="s">
        <v>562</v>
      </c>
      <c r="O11" s="15" t="s">
        <v>563</v>
      </c>
      <c r="P11" s="66"/>
      <c r="Q11" s="21"/>
      <c r="R11" s="21"/>
      <c r="S11" s="21"/>
      <c r="T11" s="21"/>
      <c r="U11" s="21"/>
      <c r="V11" s="21"/>
      <c r="W11" s="21"/>
      <c r="X11" s="21"/>
      <c r="Y11" s="21"/>
      <c r="Z11" s="21"/>
      <c r="AA11" s="21"/>
      <c r="AB11" s="21"/>
      <c r="AC11" s="21"/>
      <c r="AD11" s="21"/>
      <c r="AE11" s="23"/>
    </row>
    <row r="12" spans="1:31" ht="250.8" hidden="1">
      <c r="A12" s="12">
        <v>9</v>
      </c>
      <c r="B12" s="46" t="s">
        <v>284</v>
      </c>
      <c r="C12" s="14">
        <v>2</v>
      </c>
      <c r="D12" s="15" t="s">
        <v>564</v>
      </c>
      <c r="E12" s="15" t="s">
        <v>285</v>
      </c>
      <c r="F12" s="15" t="s">
        <v>286</v>
      </c>
      <c r="G12" s="15" t="s">
        <v>287</v>
      </c>
      <c r="H12" s="15" t="s">
        <v>565</v>
      </c>
      <c r="I12" s="15" t="s">
        <v>566</v>
      </c>
      <c r="J12" s="125" t="s">
        <v>567</v>
      </c>
      <c r="K12" s="126" t="s">
        <v>568</v>
      </c>
      <c r="L12" s="15" t="s">
        <v>24</v>
      </c>
      <c r="M12" s="15" t="s">
        <v>569</v>
      </c>
      <c r="N12" s="18" t="s">
        <v>570</v>
      </c>
      <c r="O12" s="15" t="s">
        <v>571</v>
      </c>
      <c r="P12" s="66"/>
      <c r="Q12" s="21"/>
      <c r="R12" s="21"/>
      <c r="S12" s="21"/>
      <c r="T12" s="21"/>
      <c r="U12" s="21"/>
      <c r="V12" s="21"/>
      <c r="W12" s="21"/>
      <c r="X12" s="21"/>
      <c r="Y12" s="21"/>
      <c r="Z12" s="21"/>
      <c r="AA12" s="21"/>
      <c r="AB12" s="21"/>
      <c r="AC12" s="21"/>
      <c r="AD12" s="21"/>
      <c r="AE12" s="23"/>
    </row>
    <row r="13" spans="1:31" ht="409.6" hidden="1">
      <c r="A13" s="12">
        <v>10</v>
      </c>
      <c r="B13" s="46" t="s">
        <v>288</v>
      </c>
      <c r="C13" s="14">
        <v>2</v>
      </c>
      <c r="D13" s="15" t="s">
        <v>499</v>
      </c>
      <c r="E13" s="15" t="s">
        <v>289</v>
      </c>
      <c r="F13" s="15" t="s">
        <v>290</v>
      </c>
      <c r="G13" s="15" t="s">
        <v>291</v>
      </c>
      <c r="H13" s="15" t="s">
        <v>572</v>
      </c>
      <c r="I13" s="15" t="s">
        <v>573</v>
      </c>
      <c r="J13" s="15" t="s">
        <v>574</v>
      </c>
      <c r="K13" s="15" t="s">
        <v>290</v>
      </c>
      <c r="L13" s="15" t="s">
        <v>24</v>
      </c>
      <c r="M13" s="15"/>
      <c r="N13" s="93"/>
      <c r="O13" s="15"/>
      <c r="P13" s="66"/>
      <c r="Q13" s="21"/>
      <c r="R13" s="21"/>
      <c r="S13" s="21"/>
      <c r="T13" s="21"/>
      <c r="U13" s="21"/>
      <c r="V13" s="21"/>
      <c r="W13" s="21"/>
      <c r="X13" s="21"/>
      <c r="Y13" s="21"/>
      <c r="Z13" s="21"/>
      <c r="AA13" s="21"/>
      <c r="AB13" s="21"/>
      <c r="AC13" s="21"/>
      <c r="AD13" s="21"/>
      <c r="AE13" s="23"/>
    </row>
    <row r="14" spans="1:31" ht="409.6" hidden="1">
      <c r="A14" s="12">
        <v>11</v>
      </c>
      <c r="B14" s="46" t="s">
        <v>292</v>
      </c>
      <c r="C14" s="14">
        <v>2</v>
      </c>
      <c r="D14" s="15" t="s">
        <v>541</v>
      </c>
      <c r="E14" s="15" t="s">
        <v>575</v>
      </c>
      <c r="F14" s="15" t="s">
        <v>294</v>
      </c>
      <c r="G14" s="15" t="s">
        <v>576</v>
      </c>
      <c r="H14" s="15" t="s">
        <v>577</v>
      </c>
      <c r="I14" s="15" t="s">
        <v>578</v>
      </c>
      <c r="J14" s="15" t="s">
        <v>579</v>
      </c>
      <c r="K14" s="15" t="s">
        <v>294</v>
      </c>
      <c r="L14" s="15" t="s">
        <v>24</v>
      </c>
      <c r="M14" s="15" t="s">
        <v>580</v>
      </c>
      <c r="N14" s="15" t="s">
        <v>581</v>
      </c>
      <c r="O14" s="15" t="s">
        <v>582</v>
      </c>
      <c r="P14" s="66"/>
      <c r="Q14" s="21"/>
      <c r="R14" s="21"/>
      <c r="S14" s="21"/>
      <c r="T14" s="21"/>
      <c r="U14" s="21"/>
      <c r="V14" s="21"/>
      <c r="W14" s="21"/>
      <c r="X14" s="21"/>
      <c r="Y14" s="21"/>
      <c r="Z14" s="21"/>
      <c r="AA14" s="21"/>
      <c r="AB14" s="21"/>
      <c r="AC14" s="21"/>
      <c r="AD14" s="21"/>
      <c r="AE14" s="23"/>
    </row>
    <row r="15" spans="1:31" ht="409.6" hidden="1">
      <c r="A15" s="12">
        <v>12</v>
      </c>
      <c r="B15" s="41" t="s">
        <v>469</v>
      </c>
      <c r="C15" s="14">
        <v>2</v>
      </c>
      <c r="D15" s="15" t="s">
        <v>516</v>
      </c>
      <c r="E15" s="15" t="s">
        <v>583</v>
      </c>
      <c r="F15" s="15" t="s">
        <v>584</v>
      </c>
      <c r="G15" s="15" t="s">
        <v>585</v>
      </c>
      <c r="H15" s="15" t="s">
        <v>586</v>
      </c>
      <c r="I15" s="15" t="s">
        <v>587</v>
      </c>
      <c r="J15" s="15" t="s">
        <v>588</v>
      </c>
      <c r="K15" s="122" t="s">
        <v>589</v>
      </c>
      <c r="L15" s="15" t="s">
        <v>24</v>
      </c>
      <c r="M15" s="15" t="s">
        <v>590</v>
      </c>
      <c r="N15" s="15" t="s">
        <v>591</v>
      </c>
      <c r="O15" s="122" t="s">
        <v>592</v>
      </c>
      <c r="P15" s="66"/>
      <c r="Q15" s="21"/>
      <c r="R15" s="21"/>
      <c r="S15" s="21"/>
      <c r="T15" s="21"/>
      <c r="U15" s="21"/>
      <c r="V15" s="21"/>
      <c r="W15" s="21"/>
      <c r="X15" s="21"/>
      <c r="Y15" s="21"/>
      <c r="Z15" s="21"/>
      <c r="AA15" s="21"/>
      <c r="AB15" s="21"/>
      <c r="AC15" s="21"/>
      <c r="AD15" s="21"/>
      <c r="AE15" s="23"/>
    </row>
    <row r="16" spans="1:31" ht="224.4" hidden="1">
      <c r="A16" s="12">
        <v>13</v>
      </c>
      <c r="B16" s="31" t="s">
        <v>296</v>
      </c>
      <c r="C16" s="14">
        <v>3</v>
      </c>
      <c r="D16" s="15" t="s">
        <v>593</v>
      </c>
      <c r="E16" s="15" t="s">
        <v>297</v>
      </c>
      <c r="F16" s="15" t="s">
        <v>298</v>
      </c>
      <c r="G16" s="15" t="s">
        <v>299</v>
      </c>
      <c r="H16" s="15"/>
      <c r="I16" s="15" t="s">
        <v>300</v>
      </c>
      <c r="J16" s="15" t="s">
        <v>301</v>
      </c>
      <c r="K16" s="15" t="s">
        <v>302</v>
      </c>
      <c r="L16" s="15" t="s">
        <v>24</v>
      </c>
      <c r="M16" s="15" t="s">
        <v>594</v>
      </c>
      <c r="N16" s="15" t="s">
        <v>595</v>
      </c>
      <c r="O16" s="15" t="s">
        <v>596</v>
      </c>
      <c r="P16" s="66"/>
      <c r="Q16" s="21"/>
      <c r="R16" s="21"/>
      <c r="S16" s="21"/>
      <c r="T16" s="21"/>
      <c r="U16" s="21"/>
      <c r="V16" s="21"/>
      <c r="W16" s="21"/>
      <c r="X16" s="21"/>
      <c r="Y16" s="21" t="s">
        <v>24</v>
      </c>
      <c r="Z16" s="21" t="s">
        <v>24</v>
      </c>
      <c r="AA16" s="21" t="s">
        <v>24</v>
      </c>
      <c r="AB16" s="21" t="s">
        <v>24</v>
      </c>
      <c r="AC16" s="21" t="s">
        <v>24</v>
      </c>
      <c r="AD16" s="21"/>
      <c r="AE16" s="23"/>
    </row>
    <row r="17" spans="1:31" ht="409.6" hidden="1" customHeight="1">
      <c r="A17" s="12">
        <v>14</v>
      </c>
      <c r="B17" s="94" t="s">
        <v>303</v>
      </c>
      <c r="C17" s="14">
        <v>3</v>
      </c>
      <c r="D17" s="15" t="s">
        <v>593</v>
      </c>
      <c r="E17" s="15" t="s">
        <v>304</v>
      </c>
      <c r="F17" s="15" t="s">
        <v>305</v>
      </c>
      <c r="G17" s="15" t="s">
        <v>306</v>
      </c>
      <c r="H17" s="15" t="s">
        <v>597</v>
      </c>
      <c r="I17" s="15" t="s">
        <v>598</v>
      </c>
      <c r="J17" s="15" t="s">
        <v>599</v>
      </c>
      <c r="K17" s="15" t="s">
        <v>600</v>
      </c>
      <c r="L17" s="15" t="s">
        <v>24</v>
      </c>
      <c r="M17" s="15" t="s">
        <v>601</v>
      </c>
      <c r="N17" s="18" t="s">
        <v>602</v>
      </c>
      <c r="O17" s="15" t="s">
        <v>603</v>
      </c>
      <c r="P17" s="66"/>
      <c r="Q17" s="21"/>
      <c r="R17" s="21"/>
      <c r="S17" s="21"/>
      <c r="T17" s="21"/>
      <c r="U17" s="21"/>
      <c r="V17" s="21"/>
      <c r="W17" s="21"/>
      <c r="X17" s="21"/>
      <c r="Y17" s="21"/>
      <c r="Z17" s="21"/>
      <c r="AA17" s="21"/>
      <c r="AB17" s="21"/>
      <c r="AC17" s="21"/>
      <c r="AD17" s="21"/>
      <c r="AE17" s="23"/>
    </row>
    <row r="18" spans="1:31" ht="409.6" hidden="1">
      <c r="A18" s="12">
        <v>15</v>
      </c>
      <c r="B18" s="46" t="s">
        <v>307</v>
      </c>
      <c r="C18" s="14">
        <v>3</v>
      </c>
      <c r="D18" s="15" t="s">
        <v>496</v>
      </c>
      <c r="E18" s="15" t="s">
        <v>604</v>
      </c>
      <c r="F18" s="15" t="s">
        <v>309</v>
      </c>
      <c r="G18" s="15" t="s">
        <v>310</v>
      </c>
      <c r="H18" s="15" t="s">
        <v>605</v>
      </c>
      <c r="I18" s="15" t="s">
        <v>606</v>
      </c>
      <c r="J18" s="15" t="s">
        <v>607</v>
      </c>
      <c r="K18" s="126" t="s">
        <v>608</v>
      </c>
      <c r="L18" s="15" t="s">
        <v>24</v>
      </c>
      <c r="M18" s="15" t="s">
        <v>609</v>
      </c>
      <c r="N18" s="18" t="s">
        <v>610</v>
      </c>
      <c r="O18" s="15" t="s">
        <v>611</v>
      </c>
      <c r="P18" s="66"/>
      <c r="Q18" s="21"/>
      <c r="R18" s="21"/>
      <c r="S18" s="21"/>
      <c r="T18" s="21"/>
      <c r="U18" s="21"/>
      <c r="V18" s="21"/>
      <c r="W18" s="21"/>
      <c r="X18" s="21"/>
      <c r="Y18" s="21"/>
      <c r="Z18" s="21"/>
      <c r="AA18" s="21"/>
      <c r="AB18" s="21"/>
      <c r="AC18" s="21"/>
      <c r="AD18" s="21"/>
      <c r="AE18" s="23"/>
    </row>
    <row r="19" spans="1:31" ht="409.6" hidden="1">
      <c r="A19" s="12">
        <v>16</v>
      </c>
      <c r="B19" s="41" t="s">
        <v>311</v>
      </c>
      <c r="C19" s="14">
        <v>3</v>
      </c>
      <c r="D19" s="26" t="s">
        <v>593</v>
      </c>
      <c r="E19" s="26" t="s">
        <v>312</v>
      </c>
      <c r="F19" s="26" t="s">
        <v>313</v>
      </c>
      <c r="G19" s="26" t="s">
        <v>612</v>
      </c>
      <c r="H19" s="26" t="s">
        <v>613</v>
      </c>
      <c r="I19" s="26" t="s">
        <v>614</v>
      </c>
      <c r="J19" s="127" t="s">
        <v>615</v>
      </c>
      <c r="K19" s="126" t="s">
        <v>616</v>
      </c>
      <c r="L19" s="26" t="s">
        <v>24</v>
      </c>
      <c r="M19" s="26" t="s">
        <v>617</v>
      </c>
      <c r="N19" s="128" t="s">
        <v>618</v>
      </c>
      <c r="O19" s="26" t="s">
        <v>619</v>
      </c>
      <c r="P19" s="66"/>
      <c r="Q19" s="21"/>
      <c r="R19" s="21"/>
      <c r="S19" s="21"/>
      <c r="T19" s="21"/>
      <c r="U19" s="21"/>
      <c r="V19" s="21"/>
      <c r="W19" s="21"/>
      <c r="X19" s="21"/>
      <c r="Y19" s="21" t="s">
        <v>24</v>
      </c>
      <c r="Z19" s="21" t="s">
        <v>24</v>
      </c>
      <c r="AA19" s="21" t="s">
        <v>24</v>
      </c>
      <c r="AB19" s="21" t="s">
        <v>24</v>
      </c>
      <c r="AC19" s="21" t="s">
        <v>24</v>
      </c>
      <c r="AD19" s="21"/>
      <c r="AE19" s="23"/>
    </row>
    <row r="20" spans="1:31" ht="409.6" hidden="1">
      <c r="A20" s="12">
        <v>17</v>
      </c>
      <c r="B20" s="41" t="s">
        <v>314</v>
      </c>
      <c r="C20" s="14">
        <v>3</v>
      </c>
      <c r="D20" s="42" t="s">
        <v>620</v>
      </c>
      <c r="E20" s="42" t="s">
        <v>315</v>
      </c>
      <c r="F20" s="42" t="s">
        <v>316</v>
      </c>
      <c r="G20" s="18" t="s">
        <v>621</v>
      </c>
      <c r="H20" s="15" t="s">
        <v>622</v>
      </c>
      <c r="I20" s="15" t="s">
        <v>319</v>
      </c>
      <c r="J20" s="129" t="s">
        <v>320</v>
      </c>
      <c r="K20" s="122" t="s">
        <v>321</v>
      </c>
      <c r="L20" s="15" t="s">
        <v>24</v>
      </c>
      <c r="M20" s="15" t="s">
        <v>623</v>
      </c>
      <c r="N20" s="18" t="s">
        <v>624</v>
      </c>
      <c r="O20" s="15" t="s">
        <v>625</v>
      </c>
      <c r="P20" s="66"/>
      <c r="Q20" s="21"/>
      <c r="R20" s="21"/>
      <c r="S20" s="21"/>
      <c r="T20" s="21"/>
      <c r="U20" s="21"/>
      <c r="V20" s="21"/>
      <c r="W20" s="21"/>
      <c r="X20" s="21"/>
      <c r="Y20" s="21"/>
      <c r="Z20" s="21"/>
      <c r="AA20" s="21"/>
      <c r="AB20" s="21"/>
      <c r="AC20" s="21"/>
      <c r="AD20" s="21"/>
      <c r="AE20" s="23"/>
    </row>
    <row r="21" spans="1:31" ht="409.6">
      <c r="A21" s="12">
        <v>18</v>
      </c>
      <c r="B21" s="24" t="s">
        <v>322</v>
      </c>
      <c r="C21" s="14">
        <v>4</v>
      </c>
      <c r="D21" s="15" t="s">
        <v>593</v>
      </c>
      <c r="E21" s="15" t="s">
        <v>323</v>
      </c>
      <c r="F21" s="17" t="s">
        <v>324</v>
      </c>
      <c r="G21" s="18" t="s">
        <v>626</v>
      </c>
      <c r="H21" s="15" t="s">
        <v>627</v>
      </c>
      <c r="I21" s="15" t="s">
        <v>628</v>
      </c>
      <c r="J21" s="127" t="s">
        <v>629</v>
      </c>
      <c r="K21" s="126" t="s">
        <v>630</v>
      </c>
      <c r="L21" s="15" t="s">
        <v>24</v>
      </c>
      <c r="M21" s="15" t="s">
        <v>631</v>
      </c>
      <c r="N21" s="18" t="s">
        <v>632</v>
      </c>
      <c r="O21" s="127" t="s">
        <v>633</v>
      </c>
      <c r="P21" s="66" t="s">
        <v>45</v>
      </c>
      <c r="Q21" s="21"/>
      <c r="R21" s="21"/>
      <c r="S21" s="21"/>
      <c r="T21" s="21"/>
      <c r="U21" s="21"/>
      <c r="V21" s="21"/>
      <c r="W21" s="21"/>
      <c r="X21" s="21"/>
      <c r="Y21" s="21" t="s">
        <v>24</v>
      </c>
      <c r="Z21" s="21" t="s">
        <v>24</v>
      </c>
      <c r="AA21" s="21" t="s">
        <v>24</v>
      </c>
      <c r="AB21" s="21" t="s">
        <v>24</v>
      </c>
      <c r="AC21" s="21" t="s">
        <v>24</v>
      </c>
      <c r="AD21" s="21"/>
      <c r="AE21" s="23"/>
    </row>
    <row r="22" spans="1:31" ht="409.6">
      <c r="A22" s="12">
        <v>19</v>
      </c>
      <c r="B22" s="91" t="s">
        <v>326</v>
      </c>
      <c r="C22" s="14">
        <v>4</v>
      </c>
      <c r="D22" s="15" t="s">
        <v>593</v>
      </c>
      <c r="E22" s="15" t="s">
        <v>327</v>
      </c>
      <c r="F22" s="15" t="s">
        <v>328</v>
      </c>
      <c r="G22" s="18" t="s">
        <v>634</v>
      </c>
      <c r="H22" s="39" t="s">
        <v>635</v>
      </c>
      <c r="I22" s="33" t="s">
        <v>636</v>
      </c>
      <c r="J22" s="48" t="s">
        <v>637</v>
      </c>
      <c r="K22" s="16" t="s">
        <v>638</v>
      </c>
      <c r="L22" s="15" t="s">
        <v>24</v>
      </c>
      <c r="M22" s="15" t="s">
        <v>639</v>
      </c>
      <c r="N22" s="18" t="s">
        <v>640</v>
      </c>
      <c r="O22" s="16" t="s">
        <v>638</v>
      </c>
      <c r="P22" s="66"/>
      <c r="Q22" s="21"/>
      <c r="R22" s="21"/>
      <c r="S22" s="21"/>
      <c r="T22" s="21"/>
      <c r="U22" s="21"/>
      <c r="V22" s="21"/>
      <c r="W22" s="21"/>
      <c r="X22" s="21"/>
      <c r="Y22" s="21" t="s">
        <v>24</v>
      </c>
      <c r="Z22" s="21" t="s">
        <v>24</v>
      </c>
      <c r="AA22" s="21" t="s">
        <v>24</v>
      </c>
      <c r="AB22" s="21" t="s">
        <v>24</v>
      </c>
      <c r="AC22" s="21" t="s">
        <v>24</v>
      </c>
      <c r="AD22" s="21"/>
      <c r="AE22" s="23"/>
    </row>
    <row r="23" spans="1:31" ht="409.6">
      <c r="A23" s="12">
        <v>20</v>
      </c>
      <c r="B23" s="46" t="s">
        <v>330</v>
      </c>
      <c r="C23" s="14">
        <v>4</v>
      </c>
      <c r="D23" s="15" t="s">
        <v>564</v>
      </c>
      <c r="E23" s="15" t="s">
        <v>331</v>
      </c>
      <c r="F23" s="15" t="s">
        <v>332</v>
      </c>
      <c r="G23" s="18" t="s">
        <v>641</v>
      </c>
      <c r="H23" s="15" t="s">
        <v>642</v>
      </c>
      <c r="I23" s="15" t="s">
        <v>643</v>
      </c>
      <c r="J23" s="15" t="s">
        <v>644</v>
      </c>
      <c r="K23" s="15" t="s">
        <v>645</v>
      </c>
      <c r="L23" s="15" t="s">
        <v>24</v>
      </c>
      <c r="M23" s="15" t="s">
        <v>646</v>
      </c>
      <c r="N23" s="18" t="s">
        <v>647</v>
      </c>
      <c r="O23" s="15" t="s">
        <v>648</v>
      </c>
      <c r="P23" s="66"/>
      <c r="Q23" s="21"/>
      <c r="R23" s="21"/>
      <c r="S23" s="21"/>
      <c r="T23" s="21"/>
      <c r="U23" s="21"/>
      <c r="V23" s="21"/>
      <c r="W23" s="21"/>
      <c r="X23" s="21"/>
      <c r="Y23" s="21" t="s">
        <v>24</v>
      </c>
      <c r="Z23" s="21" t="s">
        <v>24</v>
      </c>
      <c r="AA23" s="21" t="s">
        <v>24</v>
      </c>
      <c r="AB23" s="21" t="s">
        <v>24</v>
      </c>
      <c r="AC23" s="21" t="s">
        <v>24</v>
      </c>
      <c r="AD23" s="21"/>
      <c r="AE23" s="23"/>
    </row>
    <row r="24" spans="1:31" ht="409.6">
      <c r="A24" s="12">
        <v>21</v>
      </c>
      <c r="B24" s="26" t="s">
        <v>334</v>
      </c>
      <c r="C24" s="14">
        <v>4</v>
      </c>
      <c r="D24" s="26" t="s">
        <v>649</v>
      </c>
      <c r="E24" s="26" t="s">
        <v>650</v>
      </c>
      <c r="F24" s="26" t="s">
        <v>336</v>
      </c>
      <c r="G24" s="32" t="s">
        <v>651</v>
      </c>
      <c r="H24" s="26" t="s">
        <v>652</v>
      </c>
      <c r="I24" s="26" t="s">
        <v>653</v>
      </c>
      <c r="J24" s="15" t="s">
        <v>654</v>
      </c>
      <c r="K24" s="16" t="s">
        <v>655</v>
      </c>
      <c r="L24" s="26" t="s">
        <v>24</v>
      </c>
      <c r="M24" s="26" t="s">
        <v>656</v>
      </c>
      <c r="N24" s="52" t="s">
        <v>657</v>
      </c>
      <c r="O24" s="26" t="s">
        <v>658</v>
      </c>
      <c r="P24" s="66"/>
      <c r="Q24" s="21"/>
      <c r="R24" s="21"/>
      <c r="S24" s="21"/>
      <c r="T24" s="21"/>
      <c r="U24" s="21"/>
      <c r="V24" s="21"/>
      <c r="W24" s="21"/>
      <c r="X24" s="21"/>
      <c r="Y24" s="21" t="s">
        <v>24</v>
      </c>
      <c r="Z24" s="21" t="s">
        <v>24</v>
      </c>
      <c r="AA24" s="21" t="s">
        <v>24</v>
      </c>
      <c r="AB24" s="21" t="s">
        <v>24</v>
      </c>
      <c r="AC24" s="21" t="s">
        <v>24</v>
      </c>
      <c r="AD24" s="21"/>
      <c r="AE24" s="23"/>
    </row>
    <row r="25" spans="1:31" ht="409.6">
      <c r="A25" s="12">
        <v>22</v>
      </c>
      <c r="B25" s="46" t="s">
        <v>440</v>
      </c>
      <c r="C25" s="14">
        <v>4</v>
      </c>
      <c r="D25" s="26" t="s">
        <v>593</v>
      </c>
      <c r="E25" s="26" t="s">
        <v>441</v>
      </c>
      <c r="F25" s="15" t="s">
        <v>442</v>
      </c>
      <c r="G25" s="15" t="s">
        <v>659</v>
      </c>
      <c r="H25" s="130" t="s">
        <v>660</v>
      </c>
      <c r="I25" s="15" t="s">
        <v>661</v>
      </c>
      <c r="J25" s="16" t="s">
        <v>662</v>
      </c>
      <c r="K25" s="15" t="s">
        <v>663</v>
      </c>
      <c r="L25" s="15" t="s">
        <v>24</v>
      </c>
      <c r="M25" s="18" t="s">
        <v>664</v>
      </c>
      <c r="N25" s="18" t="s">
        <v>664</v>
      </c>
      <c r="O25" s="15" t="s">
        <v>665</v>
      </c>
      <c r="P25" s="66"/>
      <c r="Q25" s="21"/>
      <c r="R25" s="21"/>
      <c r="S25" s="21"/>
      <c r="T25" s="21"/>
      <c r="U25" s="21"/>
      <c r="V25" s="21"/>
      <c r="W25" s="21"/>
      <c r="X25" s="21"/>
      <c r="Y25" s="21" t="s">
        <v>24</v>
      </c>
      <c r="Z25" s="21" t="s">
        <v>24</v>
      </c>
      <c r="AA25" s="21" t="s">
        <v>24</v>
      </c>
      <c r="AB25" s="21" t="s">
        <v>24</v>
      </c>
      <c r="AC25" s="21" t="s">
        <v>24</v>
      </c>
      <c r="AD25" s="21"/>
      <c r="AE25" s="23"/>
    </row>
    <row r="26" spans="1:31" ht="352.5" customHeight="1">
      <c r="A26" s="12">
        <v>23</v>
      </c>
      <c r="B26" s="46" t="s">
        <v>456</v>
      </c>
      <c r="C26" s="14">
        <v>4</v>
      </c>
      <c r="D26" s="16" t="s">
        <v>541</v>
      </c>
      <c r="E26" s="16" t="s">
        <v>666</v>
      </c>
      <c r="F26" s="15" t="s">
        <v>458</v>
      </c>
      <c r="G26" s="15" t="s">
        <v>667</v>
      </c>
      <c r="H26" s="131" t="s">
        <v>668</v>
      </c>
      <c r="I26" s="15" t="s">
        <v>669</v>
      </c>
      <c r="J26" s="15" t="s">
        <v>670</v>
      </c>
      <c r="K26" s="15" t="s">
        <v>671</v>
      </c>
      <c r="L26" s="15" t="s">
        <v>24</v>
      </c>
      <c r="M26" s="15" t="s">
        <v>672</v>
      </c>
      <c r="N26" s="18" t="s">
        <v>673</v>
      </c>
      <c r="O26" s="15" t="s">
        <v>674</v>
      </c>
      <c r="P26" s="66"/>
      <c r="Q26" s="21"/>
      <c r="R26" s="21"/>
      <c r="S26" s="21"/>
      <c r="T26" s="21"/>
      <c r="U26" s="21"/>
      <c r="V26" s="21"/>
      <c r="W26" s="21"/>
      <c r="X26" s="21"/>
      <c r="Y26" s="21" t="s">
        <v>24</v>
      </c>
      <c r="Z26" s="21" t="s">
        <v>24</v>
      </c>
      <c r="AA26" s="21" t="s">
        <v>24</v>
      </c>
      <c r="AB26" s="21" t="s">
        <v>24</v>
      </c>
      <c r="AC26" s="21" t="s">
        <v>24</v>
      </c>
      <c r="AD26" s="21"/>
      <c r="AE26" s="23"/>
    </row>
    <row r="27" spans="1:31" ht="302.39999999999998">
      <c r="A27" s="12">
        <v>24</v>
      </c>
      <c r="B27" s="46" t="s">
        <v>338</v>
      </c>
      <c r="C27" s="14">
        <v>5</v>
      </c>
      <c r="D27" s="15" t="s">
        <v>564</v>
      </c>
      <c r="E27" s="15" t="s">
        <v>675</v>
      </c>
      <c r="F27" s="15" t="s">
        <v>340</v>
      </c>
      <c r="G27" s="15" t="s">
        <v>676</v>
      </c>
      <c r="H27" s="96" t="s">
        <v>677</v>
      </c>
      <c r="I27" s="15" t="s">
        <v>678</v>
      </c>
      <c r="J27" s="132" t="s">
        <v>679</v>
      </c>
      <c r="K27" s="15" t="s">
        <v>680</v>
      </c>
      <c r="L27" s="15" t="s">
        <v>24</v>
      </c>
      <c r="M27" s="15"/>
      <c r="N27" s="15"/>
      <c r="O27" s="15"/>
      <c r="P27" s="66"/>
      <c r="Q27" s="21"/>
      <c r="R27" s="21"/>
      <c r="S27" s="21"/>
      <c r="T27" s="21"/>
      <c r="U27" s="21"/>
      <c r="V27" s="21"/>
      <c r="W27" s="21"/>
      <c r="X27" s="21"/>
      <c r="Y27" s="21"/>
      <c r="Z27" s="21"/>
      <c r="AA27" s="21"/>
      <c r="AB27" s="21"/>
      <c r="AC27" s="21"/>
      <c r="AD27" s="21"/>
      <c r="AE27" s="23"/>
    </row>
    <row r="28" spans="1:31" ht="277.2">
      <c r="A28" s="12">
        <v>25</v>
      </c>
      <c r="B28" s="91" t="s">
        <v>342</v>
      </c>
      <c r="C28" s="14">
        <v>5</v>
      </c>
      <c r="D28" s="15" t="s">
        <v>541</v>
      </c>
      <c r="E28" s="15" t="s">
        <v>343</v>
      </c>
      <c r="F28" s="15" t="s">
        <v>344</v>
      </c>
      <c r="G28" s="15" t="s">
        <v>681</v>
      </c>
      <c r="H28" s="15" t="s">
        <v>682</v>
      </c>
      <c r="I28" s="15" t="s">
        <v>683</v>
      </c>
      <c r="J28" s="15" t="s">
        <v>684</v>
      </c>
      <c r="K28" s="15" t="s">
        <v>685</v>
      </c>
      <c r="L28" s="15" t="s">
        <v>24</v>
      </c>
      <c r="M28" s="15" t="s">
        <v>686</v>
      </c>
      <c r="N28" s="18" t="s">
        <v>687</v>
      </c>
      <c r="O28" s="15" t="s">
        <v>688</v>
      </c>
      <c r="P28" s="66"/>
      <c r="Q28" s="21"/>
      <c r="R28" s="21"/>
      <c r="S28" s="21"/>
      <c r="T28" s="21"/>
      <c r="U28" s="21"/>
      <c r="V28" s="21"/>
      <c r="W28" s="21"/>
      <c r="X28" s="21"/>
      <c r="Y28" s="21" t="s">
        <v>24</v>
      </c>
      <c r="Z28" s="21" t="s">
        <v>24</v>
      </c>
      <c r="AA28" s="21" t="s">
        <v>24</v>
      </c>
      <c r="AB28" s="21" t="s">
        <v>24</v>
      </c>
      <c r="AC28" s="21" t="s">
        <v>74</v>
      </c>
      <c r="AD28" s="21"/>
      <c r="AE28" s="23"/>
    </row>
    <row r="29" spans="1:31" ht="145.5" customHeight="1">
      <c r="A29" s="12">
        <v>26</v>
      </c>
      <c r="B29" s="33" t="s">
        <v>346</v>
      </c>
      <c r="C29" s="14">
        <v>5</v>
      </c>
      <c r="D29" s="15" t="s">
        <v>516</v>
      </c>
      <c r="E29" s="15" t="s">
        <v>347</v>
      </c>
      <c r="F29" s="15" t="s">
        <v>348</v>
      </c>
      <c r="G29" s="15" t="s">
        <v>349</v>
      </c>
      <c r="H29" s="133" t="s">
        <v>689</v>
      </c>
      <c r="I29" s="15" t="s">
        <v>690</v>
      </c>
      <c r="J29" s="15" t="s">
        <v>691</v>
      </c>
      <c r="K29" s="15" t="s">
        <v>348</v>
      </c>
      <c r="L29" s="15" t="s">
        <v>24</v>
      </c>
      <c r="M29" s="15" t="s">
        <v>692</v>
      </c>
      <c r="N29" s="18" t="s">
        <v>693</v>
      </c>
      <c r="O29" s="15" t="s">
        <v>694</v>
      </c>
      <c r="P29" s="66"/>
      <c r="Q29" s="21"/>
      <c r="R29" s="21"/>
      <c r="S29" s="21"/>
      <c r="T29" s="21"/>
      <c r="U29" s="21"/>
      <c r="V29" s="21"/>
      <c r="W29" s="21"/>
      <c r="X29" s="21"/>
      <c r="Y29" s="21" t="s">
        <v>24</v>
      </c>
      <c r="Z29" s="21" t="s">
        <v>24</v>
      </c>
      <c r="AA29" s="21" t="s">
        <v>24</v>
      </c>
      <c r="AB29" s="21" t="s">
        <v>24</v>
      </c>
      <c r="AC29" s="21" t="s">
        <v>74</v>
      </c>
      <c r="AD29" s="21"/>
      <c r="AE29" s="23"/>
    </row>
    <row r="30" spans="1:31" ht="324.75" customHeight="1">
      <c r="A30" s="12">
        <v>27</v>
      </c>
      <c r="B30" s="46" t="s">
        <v>350</v>
      </c>
      <c r="C30" s="14">
        <v>5</v>
      </c>
      <c r="D30" s="15" t="s">
        <v>564</v>
      </c>
      <c r="E30" s="15" t="s">
        <v>695</v>
      </c>
      <c r="F30" s="15" t="s">
        <v>696</v>
      </c>
      <c r="G30" s="15" t="s">
        <v>353</v>
      </c>
      <c r="H30" s="15" t="s">
        <v>697</v>
      </c>
      <c r="I30" s="15" t="s">
        <v>698</v>
      </c>
      <c r="J30" s="15" t="s">
        <v>699</v>
      </c>
      <c r="K30" s="15" t="s">
        <v>700</v>
      </c>
      <c r="L30" s="15" t="s">
        <v>24</v>
      </c>
      <c r="M30" s="134" t="s">
        <v>701</v>
      </c>
      <c r="N30" s="18" t="s">
        <v>702</v>
      </c>
      <c r="O30" s="132" t="s">
        <v>703</v>
      </c>
      <c r="P30" s="66"/>
      <c r="Q30" s="21"/>
      <c r="R30" s="21"/>
      <c r="S30" s="21"/>
      <c r="T30" s="21"/>
      <c r="U30" s="21"/>
      <c r="V30" s="21"/>
      <c r="W30" s="21"/>
      <c r="X30" s="21"/>
      <c r="Y30" s="21" t="s">
        <v>24</v>
      </c>
      <c r="Z30" s="21" t="s">
        <v>24</v>
      </c>
      <c r="AA30" s="21" t="s">
        <v>24</v>
      </c>
      <c r="AB30" s="21" t="s">
        <v>24</v>
      </c>
      <c r="AC30" s="21" t="s">
        <v>24</v>
      </c>
      <c r="AD30" s="21"/>
      <c r="AE30" s="23"/>
    </row>
    <row r="31" spans="1:31" ht="409.6">
      <c r="A31" s="12">
        <v>28</v>
      </c>
      <c r="B31" s="41" t="s">
        <v>463</v>
      </c>
      <c r="C31" s="14">
        <v>5</v>
      </c>
      <c r="D31" s="26" t="s">
        <v>516</v>
      </c>
      <c r="E31" s="26" t="s">
        <v>464</v>
      </c>
      <c r="F31" s="26" t="s">
        <v>465</v>
      </c>
      <c r="G31" s="26" t="s">
        <v>704</v>
      </c>
      <c r="H31" s="15" t="s">
        <v>705</v>
      </c>
      <c r="I31" s="26" t="s">
        <v>706</v>
      </c>
      <c r="J31" s="26" t="s">
        <v>707</v>
      </c>
      <c r="K31" s="26" t="s">
        <v>708</v>
      </c>
      <c r="L31" s="22" t="s">
        <v>24</v>
      </c>
      <c r="M31" s="22"/>
      <c r="N31" s="22"/>
      <c r="O31" s="22"/>
      <c r="P31" s="66"/>
      <c r="Q31" s="21"/>
      <c r="R31" s="21"/>
      <c r="S31" s="21"/>
      <c r="T31" s="21"/>
      <c r="U31" s="21"/>
      <c r="V31" s="21"/>
      <c r="W31" s="21"/>
      <c r="X31" s="21"/>
      <c r="Y31" s="21"/>
      <c r="Z31" s="21"/>
      <c r="AA31" s="21"/>
      <c r="AB31" s="21"/>
      <c r="AC31" s="21"/>
      <c r="AD31" s="21"/>
      <c r="AE31" s="23"/>
    </row>
    <row r="32" spans="1:31" ht="132">
      <c r="A32" s="12">
        <v>29</v>
      </c>
      <c r="B32" s="41" t="s">
        <v>444</v>
      </c>
      <c r="C32" s="14">
        <v>5</v>
      </c>
      <c r="D32" s="26" t="s">
        <v>496</v>
      </c>
      <c r="E32" s="26" t="s">
        <v>445</v>
      </c>
      <c r="F32" s="15" t="s">
        <v>446</v>
      </c>
      <c r="G32" s="15" t="s">
        <v>709</v>
      </c>
      <c r="H32" s="15"/>
      <c r="I32" s="15"/>
      <c r="J32" s="15"/>
      <c r="K32" s="15"/>
      <c r="L32" s="15" t="s">
        <v>24</v>
      </c>
      <c r="M32" s="15"/>
      <c r="N32" s="15"/>
      <c r="O32" s="15"/>
      <c r="P32" s="66"/>
      <c r="Q32" s="21"/>
      <c r="R32" s="21"/>
      <c r="S32" s="21"/>
      <c r="T32" s="21"/>
      <c r="U32" s="21"/>
      <c r="V32" s="21"/>
      <c r="W32" s="21"/>
      <c r="X32" s="21"/>
      <c r="Y32" s="21"/>
      <c r="Z32" s="21"/>
      <c r="AA32" s="21"/>
      <c r="AB32" s="21"/>
      <c r="AC32" s="21"/>
      <c r="AD32" s="21"/>
      <c r="AE32" s="23"/>
    </row>
    <row r="33" spans="1:31" ht="409.6" hidden="1">
      <c r="A33" s="12">
        <v>30</v>
      </c>
      <c r="B33" s="41" t="s">
        <v>354</v>
      </c>
      <c r="C33" s="14">
        <v>6</v>
      </c>
      <c r="D33" s="15" t="s">
        <v>564</v>
      </c>
      <c r="E33" s="15" t="s">
        <v>710</v>
      </c>
      <c r="F33" s="15" t="s">
        <v>711</v>
      </c>
      <c r="G33" s="18" t="s">
        <v>712</v>
      </c>
      <c r="H33" s="15" t="s">
        <v>713</v>
      </c>
      <c r="I33" s="15" t="s">
        <v>714</v>
      </c>
      <c r="J33" s="15" t="s">
        <v>715</v>
      </c>
      <c r="K33" s="15" t="s">
        <v>716</v>
      </c>
      <c r="L33" s="15" t="s">
        <v>24</v>
      </c>
      <c r="M33" s="15" t="s">
        <v>717</v>
      </c>
      <c r="N33" s="18" t="s">
        <v>718</v>
      </c>
      <c r="O33" s="15"/>
      <c r="P33" s="66"/>
      <c r="Q33" s="21"/>
      <c r="R33" s="21"/>
      <c r="S33" s="21"/>
      <c r="T33" s="21"/>
      <c r="U33" s="21"/>
      <c r="V33" s="21"/>
      <c r="W33" s="21"/>
      <c r="X33" s="21"/>
      <c r="Y33" s="21" t="s">
        <v>24</v>
      </c>
      <c r="Z33" s="21" t="s">
        <v>24</v>
      </c>
      <c r="AA33" s="21" t="s">
        <v>24</v>
      </c>
      <c r="AB33" s="21" t="s">
        <v>24</v>
      </c>
      <c r="AC33" s="21" t="s">
        <v>24</v>
      </c>
      <c r="AD33" s="21"/>
      <c r="AE33" s="23"/>
    </row>
    <row r="34" spans="1:31" ht="409.6" hidden="1">
      <c r="A34" s="12">
        <v>31</v>
      </c>
      <c r="B34" s="46" t="s">
        <v>357</v>
      </c>
      <c r="C34" s="14">
        <v>6</v>
      </c>
      <c r="D34" s="15" t="s">
        <v>516</v>
      </c>
      <c r="E34" s="15" t="s">
        <v>719</v>
      </c>
      <c r="F34" s="15" t="s">
        <v>359</v>
      </c>
      <c r="G34" s="15" t="s">
        <v>360</v>
      </c>
      <c r="H34" s="15" t="s">
        <v>720</v>
      </c>
      <c r="I34" s="15" t="s">
        <v>721</v>
      </c>
      <c r="J34" s="15" t="s">
        <v>722</v>
      </c>
      <c r="K34" s="15" t="s">
        <v>723</v>
      </c>
      <c r="L34" s="15" t="s">
        <v>24</v>
      </c>
      <c r="M34" s="15" t="s">
        <v>724</v>
      </c>
      <c r="N34" s="18" t="s">
        <v>725</v>
      </c>
      <c r="O34" s="60" t="s">
        <v>726</v>
      </c>
      <c r="P34" s="66"/>
      <c r="Q34" s="21"/>
      <c r="R34" s="21"/>
      <c r="S34" s="21"/>
      <c r="T34" s="21"/>
      <c r="U34" s="21"/>
      <c r="V34" s="21"/>
      <c r="W34" s="21"/>
      <c r="X34" s="21"/>
      <c r="Y34" s="21"/>
      <c r="Z34" s="21"/>
      <c r="AA34" s="21"/>
      <c r="AB34" s="21"/>
      <c r="AC34" s="21"/>
      <c r="AD34" s="21"/>
      <c r="AE34" s="23"/>
    </row>
    <row r="35" spans="1:31" ht="158.4" hidden="1">
      <c r="A35" s="12">
        <v>32</v>
      </c>
      <c r="B35" s="46" t="s">
        <v>361</v>
      </c>
      <c r="C35" s="14">
        <v>6</v>
      </c>
      <c r="D35" s="16" t="s">
        <v>496</v>
      </c>
      <c r="E35" s="16" t="s">
        <v>362</v>
      </c>
      <c r="F35" s="16" t="s">
        <v>727</v>
      </c>
      <c r="G35" s="15" t="s">
        <v>364</v>
      </c>
      <c r="H35" s="15" t="s">
        <v>728</v>
      </c>
      <c r="I35" s="15" t="s">
        <v>729</v>
      </c>
      <c r="J35" s="15" t="s">
        <v>730</v>
      </c>
      <c r="K35" s="15" t="s">
        <v>731</v>
      </c>
      <c r="L35" s="15" t="s">
        <v>24</v>
      </c>
      <c r="M35" s="15" t="s">
        <v>732</v>
      </c>
      <c r="N35" s="18" t="s">
        <v>733</v>
      </c>
      <c r="O35" s="15" t="s">
        <v>734</v>
      </c>
      <c r="P35" s="66"/>
      <c r="Q35" s="21"/>
      <c r="R35" s="21"/>
      <c r="S35" s="21"/>
      <c r="T35" s="21"/>
      <c r="U35" s="21"/>
      <c r="V35" s="21"/>
      <c r="W35" s="21"/>
      <c r="X35" s="21"/>
      <c r="Y35" s="21"/>
      <c r="Z35" s="21"/>
      <c r="AA35" s="21"/>
      <c r="AB35" s="21"/>
      <c r="AC35" s="21"/>
      <c r="AD35" s="21"/>
      <c r="AE35" s="23"/>
    </row>
    <row r="36" spans="1:31" ht="396" hidden="1">
      <c r="A36" s="12">
        <v>33</v>
      </c>
      <c r="B36" s="33" t="s">
        <v>365</v>
      </c>
      <c r="C36" s="14">
        <v>6</v>
      </c>
      <c r="D36" s="15" t="s">
        <v>593</v>
      </c>
      <c r="E36" s="15" t="s">
        <v>735</v>
      </c>
      <c r="F36" s="15" t="s">
        <v>736</v>
      </c>
      <c r="G36" s="15" t="s">
        <v>368</v>
      </c>
      <c r="H36" s="15" t="s">
        <v>737</v>
      </c>
      <c r="I36" s="15" t="s">
        <v>738</v>
      </c>
      <c r="J36" s="15" t="s">
        <v>739</v>
      </c>
      <c r="K36" s="15" t="s">
        <v>740</v>
      </c>
      <c r="L36" s="15" t="s">
        <v>24</v>
      </c>
      <c r="M36" s="15" t="s">
        <v>741</v>
      </c>
      <c r="N36" s="18" t="s">
        <v>742</v>
      </c>
      <c r="O36" s="15" t="s">
        <v>743</v>
      </c>
      <c r="P36" s="66"/>
      <c r="Q36" s="21"/>
      <c r="R36" s="21"/>
      <c r="S36" s="21"/>
      <c r="T36" s="21"/>
      <c r="U36" s="21"/>
      <c r="V36" s="21"/>
      <c r="W36" s="21"/>
      <c r="X36" s="21"/>
      <c r="Y36" s="21"/>
      <c r="Z36" s="21"/>
      <c r="AA36" s="21"/>
      <c r="AB36" s="21"/>
      <c r="AC36" s="21"/>
      <c r="AD36" s="21"/>
      <c r="AE36" s="23"/>
    </row>
    <row r="37" spans="1:31" ht="409.6" hidden="1">
      <c r="A37" s="12">
        <v>34</v>
      </c>
      <c r="B37" s="46" t="s">
        <v>369</v>
      </c>
      <c r="C37" s="14">
        <v>6</v>
      </c>
      <c r="D37" s="15" t="s">
        <v>516</v>
      </c>
      <c r="E37" s="15" t="s">
        <v>744</v>
      </c>
      <c r="F37" s="15" t="s">
        <v>745</v>
      </c>
      <c r="G37" s="15" t="s">
        <v>372</v>
      </c>
      <c r="H37" s="15" t="s">
        <v>746</v>
      </c>
      <c r="I37" s="15" t="s">
        <v>747</v>
      </c>
      <c r="J37" s="15" t="s">
        <v>748</v>
      </c>
      <c r="K37" s="15" t="s">
        <v>749</v>
      </c>
      <c r="L37" s="15" t="s">
        <v>24</v>
      </c>
      <c r="M37" s="15" t="s">
        <v>750</v>
      </c>
      <c r="N37" s="18" t="s">
        <v>751</v>
      </c>
      <c r="O37" s="15"/>
      <c r="P37" s="66"/>
      <c r="Q37" s="21"/>
      <c r="R37" s="21"/>
      <c r="S37" s="21"/>
      <c r="T37" s="21"/>
      <c r="U37" s="21"/>
      <c r="V37" s="21"/>
      <c r="W37" s="21"/>
      <c r="X37" s="21"/>
      <c r="Y37" s="21"/>
      <c r="Z37" s="21"/>
      <c r="AA37" s="21"/>
      <c r="AB37" s="21"/>
      <c r="AC37" s="21"/>
      <c r="AD37" s="21"/>
      <c r="AE37" s="23"/>
    </row>
    <row r="38" spans="1:31" ht="409.6" hidden="1">
      <c r="A38" s="12">
        <v>35</v>
      </c>
      <c r="B38" s="135" t="s">
        <v>450</v>
      </c>
      <c r="C38" s="14">
        <v>6</v>
      </c>
      <c r="D38" s="46" t="s">
        <v>620</v>
      </c>
      <c r="E38" s="46" t="s">
        <v>451</v>
      </c>
      <c r="F38" s="46" t="s">
        <v>452</v>
      </c>
      <c r="G38" s="15" t="s">
        <v>752</v>
      </c>
      <c r="H38" s="26" t="s">
        <v>753</v>
      </c>
      <c r="I38" s="26" t="s">
        <v>754</v>
      </c>
      <c r="J38" s="15" t="s">
        <v>755</v>
      </c>
      <c r="K38" s="15" t="s">
        <v>756</v>
      </c>
      <c r="L38" s="15" t="s">
        <v>24</v>
      </c>
      <c r="M38" s="62"/>
      <c r="N38" s="15"/>
      <c r="O38" s="15"/>
      <c r="P38" s="66"/>
      <c r="Q38" s="21"/>
      <c r="R38" s="21"/>
      <c r="S38" s="21"/>
      <c r="T38" s="21"/>
      <c r="U38" s="21"/>
      <c r="V38" s="21"/>
      <c r="W38" s="21"/>
      <c r="X38" s="21"/>
      <c r="Y38" s="21"/>
      <c r="Z38" s="21"/>
      <c r="AA38" s="21"/>
      <c r="AB38" s="21"/>
      <c r="AC38" s="21"/>
      <c r="AD38" s="21"/>
      <c r="AE38" s="23"/>
    </row>
    <row r="39" spans="1:31" ht="409.6" hidden="1">
      <c r="A39" s="12">
        <v>36</v>
      </c>
      <c r="B39" s="46" t="s">
        <v>373</v>
      </c>
      <c r="C39" s="14">
        <v>7</v>
      </c>
      <c r="D39" s="15" t="s">
        <v>564</v>
      </c>
      <c r="E39" s="15" t="s">
        <v>374</v>
      </c>
      <c r="F39" s="15" t="s">
        <v>375</v>
      </c>
      <c r="G39" s="15" t="s">
        <v>376</v>
      </c>
      <c r="H39" s="15" t="s">
        <v>757</v>
      </c>
      <c r="I39" s="15" t="s">
        <v>758</v>
      </c>
      <c r="J39" s="15" t="s">
        <v>759</v>
      </c>
      <c r="K39" s="15" t="s">
        <v>760</v>
      </c>
      <c r="L39" s="15" t="s">
        <v>24</v>
      </c>
      <c r="M39" s="15"/>
      <c r="N39" s="15"/>
      <c r="O39" s="15"/>
      <c r="P39" s="66"/>
      <c r="Q39" s="21"/>
      <c r="R39" s="21"/>
      <c r="S39" s="21"/>
      <c r="T39" s="21"/>
      <c r="U39" s="21"/>
      <c r="V39" s="21"/>
      <c r="W39" s="21"/>
      <c r="X39" s="21"/>
      <c r="Y39" s="21"/>
      <c r="Z39" s="21"/>
      <c r="AA39" s="21"/>
      <c r="AB39" s="21"/>
      <c r="AC39" s="21"/>
      <c r="AD39" s="21"/>
      <c r="AE39" s="23"/>
    </row>
    <row r="40" spans="1:31" ht="167.25" hidden="1" customHeight="1">
      <c r="A40" s="12">
        <v>37</v>
      </c>
      <c r="B40" s="46" t="s">
        <v>377</v>
      </c>
      <c r="C40" s="14">
        <v>7</v>
      </c>
      <c r="D40" s="16" t="s">
        <v>499</v>
      </c>
      <c r="E40" s="16" t="s">
        <v>378</v>
      </c>
      <c r="F40" s="16" t="s">
        <v>379</v>
      </c>
      <c r="G40" s="15" t="s">
        <v>380</v>
      </c>
      <c r="H40" s="58" t="s">
        <v>761</v>
      </c>
      <c r="I40" s="58" t="s">
        <v>762</v>
      </c>
      <c r="J40" s="15" t="s">
        <v>763</v>
      </c>
      <c r="K40" s="15" t="s">
        <v>764</v>
      </c>
      <c r="L40" s="15" t="s">
        <v>24</v>
      </c>
      <c r="M40" s="15" t="s">
        <v>765</v>
      </c>
      <c r="N40" s="18" t="s">
        <v>766</v>
      </c>
      <c r="O40" s="15" t="s">
        <v>767</v>
      </c>
      <c r="P40" s="66"/>
      <c r="Q40" s="21"/>
      <c r="R40" s="21"/>
      <c r="S40" s="21"/>
      <c r="T40" s="21"/>
      <c r="U40" s="21"/>
      <c r="V40" s="21"/>
      <c r="W40" s="21"/>
      <c r="X40" s="21"/>
      <c r="Y40" s="21"/>
      <c r="Z40" s="21"/>
      <c r="AA40" s="21"/>
      <c r="AB40" s="21"/>
      <c r="AC40" s="21"/>
      <c r="AD40" s="21"/>
      <c r="AE40" s="23"/>
    </row>
    <row r="41" spans="1:31" ht="171.6" hidden="1">
      <c r="A41" s="12">
        <v>38</v>
      </c>
      <c r="B41" s="91" t="s">
        <v>381</v>
      </c>
      <c r="C41" s="14">
        <v>7</v>
      </c>
      <c r="D41" s="15" t="s">
        <v>593</v>
      </c>
      <c r="E41" s="15" t="s">
        <v>382</v>
      </c>
      <c r="F41" s="15" t="s">
        <v>383</v>
      </c>
      <c r="G41" s="15" t="s">
        <v>384</v>
      </c>
      <c r="H41" s="15" t="s">
        <v>768</v>
      </c>
      <c r="I41" s="15" t="s">
        <v>769</v>
      </c>
      <c r="J41" s="15" t="s">
        <v>770</v>
      </c>
      <c r="K41" s="15" t="s">
        <v>771</v>
      </c>
      <c r="L41" s="15" t="s">
        <v>24</v>
      </c>
      <c r="M41" s="15" t="s">
        <v>772</v>
      </c>
      <c r="N41" s="18" t="s">
        <v>773</v>
      </c>
      <c r="O41" s="15"/>
      <c r="P41" s="66"/>
      <c r="Q41" s="21"/>
      <c r="R41" s="21"/>
      <c r="S41" s="21"/>
      <c r="T41" s="21"/>
      <c r="U41" s="21"/>
      <c r="V41" s="21"/>
      <c r="W41" s="21"/>
      <c r="X41" s="21"/>
      <c r="Y41" s="21"/>
      <c r="Z41" s="21"/>
      <c r="AA41" s="21"/>
      <c r="AB41" s="21"/>
      <c r="AC41" s="21"/>
      <c r="AD41" s="21"/>
      <c r="AE41" s="23"/>
    </row>
    <row r="42" spans="1:31" ht="264" hidden="1">
      <c r="A42" s="12">
        <v>39</v>
      </c>
      <c r="B42" s="46" t="s">
        <v>385</v>
      </c>
      <c r="C42" s="14">
        <v>7</v>
      </c>
      <c r="D42" s="15" t="s">
        <v>516</v>
      </c>
      <c r="E42" s="15" t="s">
        <v>386</v>
      </c>
      <c r="F42" s="15" t="s">
        <v>387</v>
      </c>
      <c r="G42" s="15" t="s">
        <v>388</v>
      </c>
      <c r="H42" s="15" t="s">
        <v>774</v>
      </c>
      <c r="I42" s="15" t="s">
        <v>775</v>
      </c>
      <c r="J42" s="15" t="s">
        <v>776</v>
      </c>
      <c r="K42" s="15" t="s">
        <v>777</v>
      </c>
      <c r="L42" s="15" t="s">
        <v>24</v>
      </c>
      <c r="M42" s="15" t="s">
        <v>778</v>
      </c>
      <c r="N42" s="18" t="s">
        <v>779</v>
      </c>
      <c r="O42" s="15" t="s">
        <v>780</v>
      </c>
      <c r="P42" s="66"/>
      <c r="Q42" s="21"/>
      <c r="R42" s="21"/>
      <c r="S42" s="21"/>
      <c r="T42" s="21"/>
      <c r="U42" s="21"/>
      <c r="V42" s="21"/>
      <c r="W42" s="21"/>
      <c r="X42" s="21"/>
      <c r="Y42" s="21"/>
      <c r="Z42" s="21"/>
      <c r="AA42" s="21"/>
      <c r="AB42" s="21"/>
      <c r="AC42" s="21"/>
      <c r="AD42" s="21"/>
      <c r="AE42" s="23"/>
    </row>
    <row r="43" spans="1:31" ht="396" hidden="1">
      <c r="A43" s="12">
        <v>40</v>
      </c>
      <c r="B43" s="91" t="s">
        <v>389</v>
      </c>
      <c r="C43" s="14">
        <v>7</v>
      </c>
      <c r="D43" s="44" t="s">
        <v>541</v>
      </c>
      <c r="E43" s="44" t="s">
        <v>390</v>
      </c>
      <c r="F43" s="44" t="s">
        <v>391</v>
      </c>
      <c r="G43" s="44" t="s">
        <v>392</v>
      </c>
      <c r="H43" s="15" t="s">
        <v>781</v>
      </c>
      <c r="I43" s="15" t="s">
        <v>782</v>
      </c>
      <c r="J43" s="15" t="s">
        <v>783</v>
      </c>
      <c r="K43" s="15" t="s">
        <v>784</v>
      </c>
      <c r="L43" s="15" t="s">
        <v>24</v>
      </c>
      <c r="M43" s="15" t="s">
        <v>785</v>
      </c>
      <c r="N43" s="18" t="s">
        <v>786</v>
      </c>
      <c r="O43" s="15" t="s">
        <v>787</v>
      </c>
      <c r="P43" s="66"/>
      <c r="Q43" s="21"/>
      <c r="R43" s="21"/>
      <c r="S43" s="21"/>
      <c r="T43" s="21"/>
      <c r="U43" s="21"/>
      <c r="V43" s="21"/>
      <c r="W43" s="21"/>
      <c r="X43" s="21"/>
      <c r="Y43" s="21"/>
      <c r="Z43" s="21"/>
      <c r="AA43" s="21"/>
      <c r="AB43" s="21"/>
      <c r="AC43" s="21"/>
      <c r="AD43" s="21"/>
      <c r="AE43" s="23"/>
    </row>
    <row r="44" spans="1:31" ht="198" hidden="1">
      <c r="A44" s="12">
        <v>41</v>
      </c>
      <c r="B44" s="91" t="s">
        <v>393</v>
      </c>
      <c r="C44" s="14">
        <v>7</v>
      </c>
      <c r="D44" s="15" t="s">
        <v>499</v>
      </c>
      <c r="E44" s="15" t="s">
        <v>394</v>
      </c>
      <c r="F44" s="15" t="s">
        <v>395</v>
      </c>
      <c r="G44" s="15" t="s">
        <v>788</v>
      </c>
      <c r="H44" s="15" t="s">
        <v>789</v>
      </c>
      <c r="I44" s="15" t="s">
        <v>790</v>
      </c>
      <c r="J44" s="15" t="s">
        <v>791</v>
      </c>
      <c r="K44" s="15" t="s">
        <v>792</v>
      </c>
      <c r="L44" s="15" t="s">
        <v>24</v>
      </c>
      <c r="M44" s="15"/>
      <c r="N44" s="15"/>
      <c r="O44" s="15"/>
      <c r="P44" s="66"/>
      <c r="Q44" s="21"/>
      <c r="R44" s="21"/>
      <c r="S44" s="21"/>
      <c r="T44" s="21"/>
      <c r="U44" s="21"/>
      <c r="V44" s="21"/>
      <c r="W44" s="21"/>
      <c r="X44" s="21"/>
      <c r="Y44" s="21"/>
      <c r="Z44" s="21"/>
      <c r="AA44" s="21"/>
      <c r="AB44" s="21"/>
      <c r="AC44" s="21"/>
      <c r="AD44" s="21"/>
      <c r="AE44" s="23"/>
    </row>
    <row r="45" spans="1:31" ht="153" hidden="1" customHeight="1">
      <c r="A45" s="12">
        <v>42</v>
      </c>
      <c r="B45" s="46" t="s">
        <v>397</v>
      </c>
      <c r="C45" s="14">
        <v>8</v>
      </c>
      <c r="D45" s="15" t="s">
        <v>620</v>
      </c>
      <c r="E45" s="15" t="s">
        <v>398</v>
      </c>
      <c r="F45" s="15" t="s">
        <v>793</v>
      </c>
      <c r="G45" s="15" t="s">
        <v>400</v>
      </c>
      <c r="H45" s="15" t="s">
        <v>794</v>
      </c>
      <c r="I45" s="15" t="s">
        <v>795</v>
      </c>
      <c r="J45" s="15" t="s">
        <v>796</v>
      </c>
      <c r="K45" s="15" t="s">
        <v>793</v>
      </c>
      <c r="L45" s="15" t="s">
        <v>24</v>
      </c>
      <c r="M45" s="15" t="s">
        <v>797</v>
      </c>
      <c r="N45" s="18" t="s">
        <v>798</v>
      </c>
      <c r="O45" s="15" t="s">
        <v>799</v>
      </c>
      <c r="P45" s="66"/>
      <c r="Q45" s="21"/>
      <c r="R45" s="21"/>
      <c r="S45" s="21"/>
      <c r="T45" s="21"/>
      <c r="U45" s="21"/>
      <c r="V45" s="21"/>
      <c r="W45" s="21"/>
      <c r="X45" s="21"/>
      <c r="Y45" s="21"/>
      <c r="Z45" s="21"/>
      <c r="AA45" s="21"/>
      <c r="AB45" s="21"/>
      <c r="AC45" s="21"/>
      <c r="AD45" s="21"/>
      <c r="AE45" s="23"/>
    </row>
    <row r="46" spans="1:31" ht="409.6" hidden="1">
      <c r="A46" s="12">
        <v>43</v>
      </c>
      <c r="B46" s="46" t="s">
        <v>401</v>
      </c>
      <c r="C46" s="14">
        <v>8</v>
      </c>
      <c r="D46" s="15" t="s">
        <v>516</v>
      </c>
      <c r="E46" s="15" t="s">
        <v>402</v>
      </c>
      <c r="F46" s="15" t="s">
        <v>403</v>
      </c>
      <c r="G46" s="15" t="s">
        <v>404</v>
      </c>
      <c r="H46" s="37" t="s">
        <v>800</v>
      </c>
      <c r="I46" s="136" t="s">
        <v>801</v>
      </c>
      <c r="J46" s="136" t="s">
        <v>802</v>
      </c>
      <c r="K46" s="136" t="s">
        <v>803</v>
      </c>
      <c r="L46" s="15" t="s">
        <v>24</v>
      </c>
      <c r="M46" s="62" t="s">
        <v>804</v>
      </c>
      <c r="N46" s="137" t="s">
        <v>805</v>
      </c>
      <c r="O46" s="15" t="s">
        <v>806</v>
      </c>
      <c r="P46" s="66"/>
      <c r="Q46" s="21"/>
      <c r="R46" s="21"/>
      <c r="S46" s="21"/>
      <c r="T46" s="21"/>
      <c r="U46" s="21"/>
      <c r="V46" s="21"/>
      <c r="W46" s="21"/>
      <c r="X46" s="21"/>
      <c r="Y46" s="21"/>
      <c r="Z46" s="21"/>
      <c r="AA46" s="21"/>
      <c r="AB46" s="21"/>
      <c r="AC46" s="21"/>
      <c r="AD46" s="21"/>
      <c r="AE46" s="23"/>
    </row>
    <row r="47" spans="1:31" ht="330" hidden="1">
      <c r="A47" s="12">
        <v>44</v>
      </c>
      <c r="B47" s="46" t="s">
        <v>405</v>
      </c>
      <c r="C47" s="14">
        <v>8</v>
      </c>
      <c r="D47" s="15" t="s">
        <v>496</v>
      </c>
      <c r="E47" s="15" t="s">
        <v>406</v>
      </c>
      <c r="F47" s="15" t="s">
        <v>407</v>
      </c>
      <c r="G47" s="15" t="s">
        <v>408</v>
      </c>
      <c r="H47" s="15" t="s">
        <v>807</v>
      </c>
      <c r="I47" s="15" t="s">
        <v>808</v>
      </c>
      <c r="J47" s="15" t="s">
        <v>809</v>
      </c>
      <c r="K47" s="15" t="s">
        <v>810</v>
      </c>
      <c r="L47" s="15" t="s">
        <v>24</v>
      </c>
      <c r="M47" s="15" t="s">
        <v>811</v>
      </c>
      <c r="N47" s="18" t="s">
        <v>812</v>
      </c>
      <c r="O47" s="15" t="s">
        <v>813</v>
      </c>
      <c r="P47" s="66"/>
      <c r="Q47" s="21"/>
      <c r="R47" s="21"/>
      <c r="S47" s="21"/>
      <c r="T47" s="21"/>
      <c r="U47" s="21"/>
      <c r="V47" s="21"/>
      <c r="W47" s="21"/>
      <c r="X47" s="21"/>
      <c r="Y47" s="21"/>
      <c r="Z47" s="21"/>
      <c r="AA47" s="21"/>
      <c r="AB47" s="21"/>
      <c r="AC47" s="21"/>
      <c r="AD47" s="21"/>
      <c r="AE47" s="23"/>
    </row>
    <row r="48" spans="1:31" ht="409.6" hidden="1">
      <c r="A48" s="12">
        <v>45</v>
      </c>
      <c r="B48" s="33" t="s">
        <v>409</v>
      </c>
      <c r="C48" s="14">
        <v>8</v>
      </c>
      <c r="D48" s="15" t="s">
        <v>649</v>
      </c>
      <c r="E48" s="15" t="s">
        <v>410</v>
      </c>
      <c r="F48" s="15" t="s">
        <v>411</v>
      </c>
      <c r="G48" s="15" t="s">
        <v>412</v>
      </c>
      <c r="H48" s="15" t="s">
        <v>814</v>
      </c>
      <c r="I48" s="15" t="s">
        <v>815</v>
      </c>
      <c r="J48" s="15" t="s">
        <v>816</v>
      </c>
      <c r="K48" s="15" t="s">
        <v>817</v>
      </c>
      <c r="L48" s="15" t="s">
        <v>24</v>
      </c>
      <c r="M48" s="15" t="s">
        <v>818</v>
      </c>
      <c r="N48" s="18" t="s">
        <v>819</v>
      </c>
      <c r="O48" s="15" t="s">
        <v>820</v>
      </c>
      <c r="P48" s="66"/>
      <c r="Q48" s="21"/>
      <c r="R48" s="21"/>
      <c r="S48" s="21"/>
      <c r="T48" s="21"/>
      <c r="U48" s="21"/>
      <c r="V48" s="21"/>
      <c r="W48" s="21"/>
      <c r="X48" s="21"/>
      <c r="Y48" s="21"/>
      <c r="Z48" s="21"/>
      <c r="AA48" s="21"/>
      <c r="AB48" s="21"/>
      <c r="AC48" s="21"/>
      <c r="AD48" s="21"/>
      <c r="AE48" s="23"/>
    </row>
    <row r="49" spans="1:31" ht="409.6" hidden="1">
      <c r="A49" s="12">
        <v>46</v>
      </c>
      <c r="B49" s="41" t="s">
        <v>466</v>
      </c>
      <c r="C49" s="14">
        <v>8</v>
      </c>
      <c r="D49" s="27" t="s">
        <v>516</v>
      </c>
      <c r="E49" s="27" t="s">
        <v>467</v>
      </c>
      <c r="F49" s="15" t="s">
        <v>468</v>
      </c>
      <c r="G49" s="15" t="s">
        <v>821</v>
      </c>
      <c r="H49" s="15" t="s">
        <v>822</v>
      </c>
      <c r="I49" s="15" t="s">
        <v>823</v>
      </c>
      <c r="J49" s="27" t="s">
        <v>824</v>
      </c>
      <c r="K49" s="15" t="s">
        <v>825</v>
      </c>
      <c r="L49" s="15" t="s">
        <v>24</v>
      </c>
      <c r="M49" s="15"/>
      <c r="N49" s="15"/>
      <c r="O49" s="15"/>
      <c r="P49" s="66"/>
      <c r="Q49" s="21"/>
      <c r="R49" s="21"/>
      <c r="S49" s="21"/>
      <c r="T49" s="21"/>
      <c r="U49" s="21"/>
      <c r="V49" s="21"/>
      <c r="W49" s="21"/>
      <c r="X49" s="21"/>
      <c r="Y49" s="21"/>
      <c r="Z49" s="21"/>
      <c r="AA49" s="21"/>
      <c r="AB49" s="21"/>
      <c r="AC49" s="21"/>
      <c r="AD49" s="21"/>
      <c r="AE49" s="23"/>
    </row>
    <row r="50" spans="1:31" ht="198" hidden="1">
      <c r="A50" s="12">
        <v>47</v>
      </c>
      <c r="B50" s="46" t="s">
        <v>413</v>
      </c>
      <c r="C50" s="14">
        <v>9</v>
      </c>
      <c r="D50" s="15" t="s">
        <v>649</v>
      </c>
      <c r="E50" s="15" t="s">
        <v>414</v>
      </c>
      <c r="F50" s="15" t="s">
        <v>415</v>
      </c>
      <c r="G50" s="15" t="s">
        <v>416</v>
      </c>
      <c r="H50" s="15" t="s">
        <v>826</v>
      </c>
      <c r="I50" s="15" t="s">
        <v>827</v>
      </c>
      <c r="J50" s="15" t="s">
        <v>828</v>
      </c>
      <c r="K50" s="15" t="s">
        <v>829</v>
      </c>
      <c r="L50" s="15" t="s">
        <v>24</v>
      </c>
      <c r="M50" s="15" t="s">
        <v>830</v>
      </c>
      <c r="N50" s="18" t="s">
        <v>831</v>
      </c>
      <c r="O50" s="15" t="s">
        <v>832</v>
      </c>
      <c r="P50" s="66"/>
      <c r="Q50" s="21"/>
      <c r="R50" s="21"/>
      <c r="S50" s="21"/>
      <c r="T50" s="21"/>
      <c r="U50" s="21"/>
      <c r="V50" s="21"/>
      <c r="W50" s="21"/>
      <c r="X50" s="21"/>
      <c r="Y50" s="21" t="s">
        <v>24</v>
      </c>
      <c r="Z50" s="21" t="s">
        <v>24</v>
      </c>
      <c r="AA50" s="21" t="s">
        <v>24</v>
      </c>
      <c r="AB50" s="21" t="s">
        <v>24</v>
      </c>
      <c r="AC50" s="21" t="s">
        <v>24</v>
      </c>
      <c r="AD50" s="21"/>
      <c r="AE50" s="23"/>
    </row>
    <row r="51" spans="1:31" ht="409.6" hidden="1">
      <c r="A51" s="12">
        <v>48</v>
      </c>
      <c r="B51" s="33" t="s">
        <v>417</v>
      </c>
      <c r="C51" s="14">
        <v>9</v>
      </c>
      <c r="D51" s="15" t="s">
        <v>496</v>
      </c>
      <c r="E51" s="15" t="s">
        <v>418</v>
      </c>
      <c r="F51" s="15" t="s">
        <v>419</v>
      </c>
      <c r="G51" s="15" t="s">
        <v>420</v>
      </c>
      <c r="H51" s="15" t="s">
        <v>833</v>
      </c>
      <c r="I51" s="15" t="s">
        <v>834</v>
      </c>
      <c r="J51" s="15" t="s">
        <v>835</v>
      </c>
      <c r="K51" s="15" t="s">
        <v>836</v>
      </c>
      <c r="L51" s="15" t="s">
        <v>24</v>
      </c>
      <c r="M51" s="15" t="s">
        <v>837</v>
      </c>
      <c r="N51" s="18" t="s">
        <v>838</v>
      </c>
      <c r="O51" s="15"/>
      <c r="P51" s="66"/>
      <c r="Q51" s="21"/>
      <c r="R51" s="21"/>
      <c r="S51" s="21"/>
      <c r="T51" s="21"/>
      <c r="U51" s="21"/>
      <c r="V51" s="21"/>
      <c r="W51" s="21"/>
      <c r="X51" s="21"/>
      <c r="Y51" s="21" t="s">
        <v>24</v>
      </c>
      <c r="Z51" s="21" t="s">
        <v>24</v>
      </c>
      <c r="AA51" s="21" t="s">
        <v>24</v>
      </c>
      <c r="AB51" s="21" t="s">
        <v>24</v>
      </c>
      <c r="AC51" s="21" t="s">
        <v>24</v>
      </c>
      <c r="AD51" s="21"/>
      <c r="AE51" s="23"/>
    </row>
    <row r="52" spans="1:31" ht="350.25" hidden="1" customHeight="1">
      <c r="A52" s="12">
        <v>49</v>
      </c>
      <c r="B52" s="26" t="s">
        <v>421</v>
      </c>
      <c r="C52" s="14">
        <v>9</v>
      </c>
      <c r="D52" s="26" t="s">
        <v>541</v>
      </c>
      <c r="E52" s="26" t="s">
        <v>839</v>
      </c>
      <c r="F52" s="26" t="s">
        <v>423</v>
      </c>
      <c r="G52" s="26" t="s">
        <v>424</v>
      </c>
      <c r="H52" s="26" t="s">
        <v>840</v>
      </c>
      <c r="I52" s="26" t="s">
        <v>841</v>
      </c>
      <c r="J52" s="26" t="s">
        <v>842</v>
      </c>
      <c r="K52" s="26" t="s">
        <v>423</v>
      </c>
      <c r="L52" s="26" t="s">
        <v>24</v>
      </c>
      <c r="M52" s="26" t="s">
        <v>843</v>
      </c>
      <c r="N52" s="32" t="s">
        <v>844</v>
      </c>
      <c r="O52" s="26" t="s">
        <v>845</v>
      </c>
      <c r="P52" s="66"/>
      <c r="Q52" s="21"/>
      <c r="R52" s="21"/>
      <c r="S52" s="21"/>
      <c r="T52" s="21"/>
      <c r="U52" s="21"/>
      <c r="V52" s="21"/>
      <c r="W52" s="21"/>
      <c r="X52" s="21"/>
      <c r="Y52" s="21" t="s">
        <v>24</v>
      </c>
      <c r="Z52" s="21" t="s">
        <v>24</v>
      </c>
      <c r="AA52" s="21" t="s">
        <v>24</v>
      </c>
      <c r="AB52" s="21" t="s">
        <v>24</v>
      </c>
      <c r="AC52" s="21" t="s">
        <v>24</v>
      </c>
      <c r="AD52" s="21"/>
      <c r="AE52" s="23"/>
    </row>
    <row r="53" spans="1:31" ht="409.6" hidden="1">
      <c r="A53" s="12">
        <v>50</v>
      </c>
      <c r="B53" s="138" t="s">
        <v>425</v>
      </c>
      <c r="C53" s="14">
        <v>9</v>
      </c>
      <c r="D53" s="15" t="s">
        <v>593</v>
      </c>
      <c r="E53" s="15" t="s">
        <v>426</v>
      </c>
      <c r="F53" s="17" t="s">
        <v>427</v>
      </c>
      <c r="G53" s="51" t="s">
        <v>846</v>
      </c>
      <c r="H53" s="15" t="s">
        <v>847</v>
      </c>
      <c r="I53" s="15" t="s">
        <v>848</v>
      </c>
      <c r="J53" s="15" t="s">
        <v>849</v>
      </c>
      <c r="K53" s="15" t="s">
        <v>850</v>
      </c>
      <c r="L53" s="15" t="s">
        <v>24</v>
      </c>
      <c r="M53" s="60" t="s">
        <v>851</v>
      </c>
      <c r="N53" s="51" t="s">
        <v>852</v>
      </c>
      <c r="O53" s="17" t="s">
        <v>853</v>
      </c>
      <c r="P53" s="66"/>
      <c r="Q53" s="21"/>
      <c r="R53" s="21"/>
      <c r="S53" s="21"/>
      <c r="T53" s="21"/>
      <c r="U53" s="21"/>
      <c r="V53" s="21"/>
      <c r="W53" s="21"/>
      <c r="X53" s="21"/>
      <c r="Y53" s="21" t="s">
        <v>24</v>
      </c>
      <c r="Z53" s="21" t="s">
        <v>24</v>
      </c>
      <c r="AA53" s="21" t="s">
        <v>24</v>
      </c>
      <c r="AB53" s="21" t="s">
        <v>24</v>
      </c>
      <c r="AC53" s="21" t="s">
        <v>24</v>
      </c>
      <c r="AD53" s="21"/>
      <c r="AE53" s="23"/>
    </row>
    <row r="54" spans="1:31" ht="409.6" hidden="1">
      <c r="A54" s="12">
        <v>51</v>
      </c>
      <c r="B54" s="41" t="s">
        <v>854</v>
      </c>
      <c r="C54" s="14">
        <v>9</v>
      </c>
      <c r="D54" s="15" t="s">
        <v>593</v>
      </c>
      <c r="E54" s="15" t="s">
        <v>855</v>
      </c>
      <c r="F54" s="15" t="s">
        <v>856</v>
      </c>
      <c r="G54" s="15" t="s">
        <v>857</v>
      </c>
      <c r="H54" s="15"/>
      <c r="I54" s="15"/>
      <c r="J54" s="15"/>
      <c r="K54" s="15"/>
      <c r="L54" s="15" t="s">
        <v>24</v>
      </c>
      <c r="M54" s="15"/>
      <c r="N54" s="15"/>
      <c r="O54" s="15"/>
      <c r="P54" s="66"/>
      <c r="Q54" s="21"/>
      <c r="R54" s="21"/>
      <c r="S54" s="21"/>
      <c r="T54" s="21"/>
      <c r="U54" s="21"/>
      <c r="V54" s="21"/>
      <c r="W54" s="21"/>
      <c r="X54" s="21"/>
      <c r="Y54" s="21"/>
      <c r="Z54" s="21"/>
      <c r="AA54" s="21"/>
      <c r="AB54" s="21"/>
      <c r="AC54" s="21"/>
      <c r="AD54" s="21"/>
      <c r="AE54" s="23"/>
    </row>
    <row r="55" spans="1:31" ht="409.6" hidden="1">
      <c r="A55" s="12">
        <v>52</v>
      </c>
      <c r="B55" s="46" t="s">
        <v>858</v>
      </c>
      <c r="C55" s="14">
        <v>9</v>
      </c>
      <c r="D55" s="15" t="s">
        <v>593</v>
      </c>
      <c r="E55" s="15" t="s">
        <v>859</v>
      </c>
      <c r="F55" s="15" t="s">
        <v>860</v>
      </c>
      <c r="G55" s="34" t="s">
        <v>861</v>
      </c>
      <c r="H55" s="15" t="s">
        <v>862</v>
      </c>
      <c r="I55" s="15" t="s">
        <v>863</v>
      </c>
      <c r="J55" s="15" t="s">
        <v>864</v>
      </c>
      <c r="K55" s="15" t="s">
        <v>865</v>
      </c>
      <c r="L55" s="15" t="s">
        <v>24</v>
      </c>
      <c r="M55" s="15" t="s">
        <v>866</v>
      </c>
      <c r="N55" s="41"/>
      <c r="O55" s="15"/>
      <c r="P55" s="66"/>
      <c r="Q55" s="21"/>
      <c r="R55" s="21"/>
      <c r="S55" s="21"/>
      <c r="T55" s="21"/>
      <c r="U55" s="21"/>
      <c r="V55" s="21"/>
      <c r="W55" s="21"/>
      <c r="X55" s="21"/>
      <c r="Y55" s="21"/>
      <c r="Z55" s="21"/>
      <c r="AA55" s="21"/>
      <c r="AB55" s="21"/>
      <c r="AC55" s="21"/>
      <c r="AD55" s="21"/>
      <c r="AE55" s="23"/>
    </row>
    <row r="56" spans="1:31" ht="224.4" hidden="1">
      <c r="A56" s="12">
        <v>53</v>
      </c>
      <c r="B56" s="17" t="s">
        <v>428</v>
      </c>
      <c r="C56" s="14">
        <v>10</v>
      </c>
      <c r="D56" s="15" t="s">
        <v>516</v>
      </c>
      <c r="E56" s="15" t="s">
        <v>867</v>
      </c>
      <c r="F56" s="17" t="s">
        <v>430</v>
      </c>
      <c r="G56" s="17" t="s">
        <v>431</v>
      </c>
      <c r="H56" s="65" t="s">
        <v>868</v>
      </c>
      <c r="I56" s="139" t="s">
        <v>869</v>
      </c>
      <c r="J56" s="15" t="s">
        <v>870</v>
      </c>
      <c r="K56" s="17" t="s">
        <v>871</v>
      </c>
      <c r="L56" s="15" t="s">
        <v>24</v>
      </c>
      <c r="M56" s="60" t="s">
        <v>872</v>
      </c>
      <c r="N56" s="51" t="s">
        <v>873</v>
      </c>
      <c r="O56" s="17" t="s">
        <v>874</v>
      </c>
      <c r="P56" s="66"/>
      <c r="Q56" s="21"/>
      <c r="R56" s="21"/>
      <c r="S56" s="21"/>
      <c r="T56" s="21"/>
      <c r="U56" s="21"/>
      <c r="V56" s="21"/>
      <c r="W56" s="21"/>
      <c r="X56" s="21"/>
      <c r="Y56" s="21" t="s">
        <v>24</v>
      </c>
      <c r="Z56" s="21" t="s">
        <v>24</v>
      </c>
      <c r="AA56" s="21" t="s">
        <v>24</v>
      </c>
      <c r="AB56" s="21" t="s">
        <v>24</v>
      </c>
      <c r="AC56" s="21" t="s">
        <v>24</v>
      </c>
      <c r="AD56" s="21"/>
      <c r="AE56" s="23"/>
    </row>
    <row r="57" spans="1:31" ht="237.6" hidden="1">
      <c r="A57" s="12">
        <v>54</v>
      </c>
      <c r="B57" s="46" t="s">
        <v>432</v>
      </c>
      <c r="C57" s="14">
        <v>10</v>
      </c>
      <c r="D57" s="15" t="s">
        <v>593</v>
      </c>
      <c r="E57" s="15" t="s">
        <v>433</v>
      </c>
      <c r="F57" s="15" t="s">
        <v>434</v>
      </c>
      <c r="G57" s="15" t="s">
        <v>435</v>
      </c>
      <c r="H57" s="15" t="s">
        <v>875</v>
      </c>
      <c r="I57" s="15" t="s">
        <v>876</v>
      </c>
      <c r="J57" s="15" t="s">
        <v>877</v>
      </c>
      <c r="K57" s="15" t="s">
        <v>878</v>
      </c>
      <c r="L57" s="15" t="s">
        <v>24</v>
      </c>
      <c r="M57" s="15" t="s">
        <v>879</v>
      </c>
      <c r="N57" s="18" t="s">
        <v>880</v>
      </c>
      <c r="O57" s="15" t="s">
        <v>881</v>
      </c>
      <c r="P57" s="66"/>
      <c r="Q57" s="21"/>
      <c r="R57" s="21"/>
      <c r="S57" s="21"/>
      <c r="T57" s="21"/>
      <c r="U57" s="21"/>
      <c r="V57" s="21"/>
      <c r="W57" s="21"/>
      <c r="X57" s="21"/>
      <c r="Y57" s="21" t="s">
        <v>24</v>
      </c>
      <c r="Z57" s="21" t="s">
        <v>24</v>
      </c>
      <c r="AA57" s="21" t="s">
        <v>24</v>
      </c>
      <c r="AB57" s="21" t="s">
        <v>24</v>
      </c>
      <c r="AC57" s="21" t="s">
        <v>24</v>
      </c>
      <c r="AD57" s="21"/>
      <c r="AE57" s="23"/>
    </row>
    <row r="58" spans="1:31" ht="409.6" hidden="1">
      <c r="A58" s="12">
        <v>55</v>
      </c>
      <c r="B58" s="46" t="s">
        <v>436</v>
      </c>
      <c r="C58" s="14">
        <v>10</v>
      </c>
      <c r="D58" s="97" t="s">
        <v>593</v>
      </c>
      <c r="E58" s="97" t="s">
        <v>437</v>
      </c>
      <c r="F58" s="97" t="s">
        <v>438</v>
      </c>
      <c r="G58" s="97" t="s">
        <v>439</v>
      </c>
      <c r="H58" s="15" t="s">
        <v>882</v>
      </c>
      <c r="I58" s="15" t="s">
        <v>883</v>
      </c>
      <c r="J58" s="15" t="s">
        <v>884</v>
      </c>
      <c r="K58" s="97" t="s">
        <v>885</v>
      </c>
      <c r="L58" s="15" t="s">
        <v>24</v>
      </c>
      <c r="M58" s="15" t="s">
        <v>886</v>
      </c>
      <c r="N58" s="18" t="s">
        <v>887</v>
      </c>
      <c r="O58" s="15" t="s">
        <v>888</v>
      </c>
      <c r="P58" s="66"/>
      <c r="Q58" s="21"/>
      <c r="R58" s="21"/>
      <c r="S58" s="21"/>
      <c r="T58" s="21"/>
      <c r="U58" s="21"/>
      <c r="V58" s="21"/>
      <c r="W58" s="21"/>
      <c r="X58" s="21"/>
      <c r="Y58" s="21" t="s">
        <v>24</v>
      </c>
      <c r="Z58" s="21" t="s">
        <v>24</v>
      </c>
      <c r="AA58" s="21" t="s">
        <v>24</v>
      </c>
      <c r="AB58" s="21" t="s">
        <v>24</v>
      </c>
      <c r="AC58" s="21" t="s">
        <v>24</v>
      </c>
      <c r="AD58" s="21"/>
      <c r="AE58" s="23"/>
    </row>
    <row r="59" spans="1:31" ht="409.6" hidden="1">
      <c r="A59" s="12">
        <v>56</v>
      </c>
      <c r="B59" s="41" t="s">
        <v>447</v>
      </c>
      <c r="C59" s="14">
        <v>10</v>
      </c>
      <c r="D59" s="15" t="s">
        <v>593</v>
      </c>
      <c r="E59" s="15" t="s">
        <v>448</v>
      </c>
      <c r="F59" s="15" t="s">
        <v>449</v>
      </c>
      <c r="G59" s="15" t="s">
        <v>889</v>
      </c>
      <c r="H59" s="15" t="s">
        <v>890</v>
      </c>
      <c r="I59" s="15" t="s">
        <v>891</v>
      </c>
      <c r="J59" s="15" t="s">
        <v>892</v>
      </c>
      <c r="K59" s="15" t="s">
        <v>893</v>
      </c>
      <c r="L59" s="15" t="s">
        <v>24</v>
      </c>
      <c r="M59" s="15"/>
      <c r="N59" s="15"/>
      <c r="O59" s="15"/>
      <c r="P59" s="66"/>
      <c r="Q59" s="21"/>
      <c r="R59" s="21"/>
      <c r="S59" s="21"/>
      <c r="T59" s="21"/>
      <c r="U59" s="21"/>
      <c r="V59" s="21"/>
      <c r="W59" s="21"/>
      <c r="X59" s="21"/>
      <c r="Y59" s="21"/>
      <c r="Z59" s="21"/>
      <c r="AA59" s="21"/>
      <c r="AB59" s="21"/>
      <c r="AC59" s="21"/>
      <c r="AD59" s="21"/>
      <c r="AE59" s="23"/>
    </row>
    <row r="60" spans="1:31" ht="409.6" hidden="1">
      <c r="A60" s="12">
        <v>57</v>
      </c>
      <c r="B60" s="41" t="s">
        <v>460</v>
      </c>
      <c r="C60" s="14">
        <v>10</v>
      </c>
      <c r="D60" s="15" t="s">
        <v>541</v>
      </c>
      <c r="E60" s="15" t="s">
        <v>461</v>
      </c>
      <c r="F60" s="15" t="s">
        <v>462</v>
      </c>
      <c r="G60" s="15" t="s">
        <v>894</v>
      </c>
      <c r="H60" s="15"/>
      <c r="I60" s="15"/>
      <c r="J60" s="15"/>
      <c r="K60" s="15"/>
      <c r="L60" s="15" t="s">
        <v>24</v>
      </c>
      <c r="M60" s="15"/>
      <c r="N60" s="15"/>
      <c r="O60" s="15"/>
      <c r="P60" s="66"/>
      <c r="Q60" s="21"/>
      <c r="R60" s="21"/>
      <c r="S60" s="21"/>
      <c r="T60" s="21"/>
      <c r="U60" s="21"/>
      <c r="V60" s="21"/>
      <c r="W60" s="21"/>
      <c r="X60" s="21"/>
      <c r="Y60" s="21"/>
      <c r="Z60" s="21"/>
      <c r="AA60" s="21"/>
      <c r="AB60" s="21"/>
      <c r="AC60" s="21"/>
      <c r="AD60" s="21"/>
      <c r="AE60" s="23"/>
    </row>
    <row r="61" spans="1:31" ht="13.2" hidden="1">
      <c r="A61" s="12">
        <v>58</v>
      </c>
      <c r="B61" s="46"/>
      <c r="C61" s="14"/>
      <c r="D61" s="15"/>
      <c r="E61" s="15"/>
      <c r="F61" s="15"/>
      <c r="G61" s="15"/>
      <c r="H61" s="15"/>
      <c r="I61" s="15"/>
      <c r="J61" s="15"/>
      <c r="K61" s="15"/>
      <c r="L61" s="15"/>
      <c r="M61" s="15"/>
      <c r="N61" s="50"/>
      <c r="O61" s="16"/>
      <c r="P61" s="66"/>
      <c r="Q61" s="21"/>
      <c r="R61" s="21"/>
      <c r="S61" s="21"/>
      <c r="T61" s="21"/>
      <c r="U61" s="21"/>
      <c r="V61" s="21"/>
      <c r="W61" s="21"/>
      <c r="X61" s="21"/>
      <c r="Y61" s="21"/>
      <c r="Z61" s="21"/>
      <c r="AA61" s="21"/>
      <c r="AB61" s="21"/>
      <c r="AC61" s="21"/>
      <c r="AD61" s="21"/>
      <c r="AE61" s="23"/>
    </row>
    <row r="62" spans="1:31" ht="13.2" hidden="1">
      <c r="A62" s="12">
        <v>59</v>
      </c>
      <c r="B62" s="46"/>
      <c r="C62" s="14"/>
      <c r="D62" s="15"/>
      <c r="E62" s="15"/>
      <c r="F62" s="15"/>
      <c r="G62" s="15"/>
      <c r="H62" s="15"/>
      <c r="I62" s="15"/>
      <c r="J62" s="15"/>
      <c r="K62" s="15"/>
      <c r="L62" s="15"/>
      <c r="M62" s="15"/>
      <c r="N62" s="15"/>
      <c r="O62" s="15"/>
      <c r="P62" s="66"/>
      <c r="Q62" s="21"/>
      <c r="R62" s="21"/>
      <c r="S62" s="21"/>
      <c r="T62" s="21"/>
      <c r="U62" s="21"/>
      <c r="V62" s="21"/>
      <c r="W62" s="21"/>
      <c r="X62" s="21"/>
      <c r="Y62" s="21"/>
      <c r="Z62" s="21"/>
      <c r="AA62" s="21"/>
      <c r="AB62" s="21"/>
      <c r="AC62" s="21"/>
      <c r="AD62" s="21"/>
      <c r="AE62" s="23"/>
    </row>
    <row r="63" spans="1:31" ht="13.2" hidden="1">
      <c r="A63" s="12">
        <v>60</v>
      </c>
      <c r="B63" s="46"/>
      <c r="C63" s="14"/>
      <c r="D63" s="15"/>
      <c r="E63" s="15"/>
      <c r="F63" s="15"/>
      <c r="G63" s="15"/>
      <c r="H63" s="15"/>
      <c r="I63" s="15"/>
      <c r="J63" s="15"/>
      <c r="K63" s="15"/>
      <c r="L63" s="15"/>
      <c r="M63" s="15"/>
      <c r="N63" s="15"/>
      <c r="O63" s="15"/>
      <c r="P63" s="66"/>
      <c r="Q63" s="21"/>
      <c r="R63" s="21"/>
      <c r="S63" s="21"/>
      <c r="T63" s="21"/>
      <c r="U63" s="21"/>
      <c r="V63" s="21"/>
      <c r="W63" s="21"/>
      <c r="X63" s="21"/>
      <c r="Y63" s="21"/>
      <c r="Z63" s="21"/>
      <c r="AA63" s="21"/>
      <c r="AB63" s="21"/>
      <c r="AC63" s="21"/>
      <c r="AD63" s="21"/>
      <c r="AE63" s="23"/>
    </row>
    <row r="64" spans="1:31" ht="13.2" hidden="1">
      <c r="A64" s="12">
        <v>61</v>
      </c>
      <c r="B64" s="46"/>
      <c r="C64" s="14"/>
      <c r="D64" s="15"/>
      <c r="E64" s="15"/>
      <c r="F64" s="62"/>
      <c r="G64" s="62"/>
      <c r="H64" s="15"/>
      <c r="I64" s="15"/>
      <c r="J64" s="15"/>
      <c r="K64" s="15"/>
      <c r="L64" s="15"/>
      <c r="M64" s="15"/>
      <c r="N64" s="15"/>
      <c r="O64" s="62"/>
      <c r="P64" s="66"/>
      <c r="Q64" s="21"/>
      <c r="R64" s="21"/>
      <c r="S64" s="21"/>
      <c r="T64" s="21"/>
      <c r="U64" s="21"/>
      <c r="V64" s="21"/>
      <c r="W64" s="21"/>
      <c r="X64" s="21"/>
      <c r="Y64" s="21"/>
      <c r="Z64" s="21"/>
      <c r="AA64" s="21"/>
      <c r="AB64" s="21"/>
      <c r="AC64" s="21"/>
      <c r="AD64" s="21"/>
      <c r="AE64" s="23"/>
    </row>
    <row r="65" spans="1:31" ht="13.2" hidden="1">
      <c r="A65" s="12">
        <v>62</v>
      </c>
      <c r="B65" s="91"/>
      <c r="C65" s="14"/>
      <c r="D65" s="15"/>
      <c r="E65" s="15"/>
      <c r="F65" s="15"/>
      <c r="G65" s="15"/>
      <c r="H65" s="15"/>
      <c r="I65" s="15"/>
      <c r="J65" s="15"/>
      <c r="K65" s="15"/>
      <c r="L65" s="15"/>
      <c r="M65" s="15"/>
      <c r="N65" s="15"/>
      <c r="O65" s="15"/>
      <c r="P65" s="66"/>
      <c r="Q65" s="21"/>
      <c r="R65" s="21"/>
      <c r="S65" s="21"/>
      <c r="T65" s="21"/>
      <c r="U65" s="21"/>
      <c r="V65" s="21"/>
      <c r="W65" s="21"/>
      <c r="X65" s="21"/>
      <c r="Y65" s="21"/>
      <c r="Z65" s="21"/>
      <c r="AA65" s="21"/>
      <c r="AB65" s="21"/>
      <c r="AC65" s="21"/>
      <c r="AD65" s="21"/>
      <c r="AE65" s="23"/>
    </row>
    <row r="66" spans="1:31" ht="13.2" hidden="1">
      <c r="A66" s="12">
        <v>63</v>
      </c>
      <c r="B66" s="26"/>
      <c r="C66" s="14"/>
      <c r="D66" s="15"/>
      <c r="E66" s="15"/>
      <c r="F66" s="15"/>
      <c r="G66" s="15"/>
      <c r="H66" s="15"/>
      <c r="I66" s="15"/>
      <c r="J66" s="15"/>
      <c r="K66" s="15"/>
      <c r="L66" s="15"/>
      <c r="M66" s="15"/>
      <c r="N66" s="15"/>
      <c r="O66" s="15"/>
      <c r="P66" s="66"/>
      <c r="Q66" s="21"/>
      <c r="R66" s="21"/>
      <c r="S66" s="21"/>
      <c r="T66" s="21"/>
      <c r="U66" s="21"/>
      <c r="V66" s="21"/>
      <c r="W66" s="21"/>
      <c r="X66" s="21"/>
      <c r="Y66" s="21"/>
      <c r="Z66" s="21"/>
      <c r="AA66" s="21"/>
      <c r="AB66" s="21"/>
      <c r="AC66" s="21"/>
      <c r="AD66" s="21"/>
      <c r="AE66" s="23"/>
    </row>
    <row r="67" spans="1:31" ht="13.2" hidden="1">
      <c r="A67" s="12">
        <v>64</v>
      </c>
      <c r="B67" s="26"/>
      <c r="C67" s="14"/>
      <c r="D67" s="15"/>
      <c r="E67" s="15"/>
      <c r="F67" s="15"/>
      <c r="G67" s="15"/>
      <c r="H67" s="15"/>
      <c r="I67" s="15"/>
      <c r="J67" s="15"/>
      <c r="K67" s="15"/>
      <c r="L67" s="15"/>
      <c r="M67" s="15"/>
      <c r="N67" s="15"/>
      <c r="O67" s="15"/>
      <c r="P67" s="66"/>
      <c r="Q67" s="21"/>
      <c r="R67" s="21"/>
      <c r="S67" s="21"/>
      <c r="T67" s="21"/>
      <c r="U67" s="21"/>
      <c r="V67" s="21"/>
      <c r="W67" s="21"/>
      <c r="X67" s="21"/>
      <c r="Y67" s="21"/>
      <c r="Z67" s="21"/>
      <c r="AA67" s="21"/>
      <c r="AB67" s="21"/>
      <c r="AC67" s="21"/>
      <c r="AD67" s="21"/>
      <c r="AE67" s="23"/>
    </row>
    <row r="68" spans="1:31" ht="13.2" hidden="1">
      <c r="A68" s="12">
        <v>65</v>
      </c>
      <c r="B68" s="46"/>
      <c r="C68" s="14"/>
      <c r="D68" s="15"/>
      <c r="E68" s="15"/>
      <c r="F68" s="15"/>
      <c r="G68" s="15"/>
      <c r="H68" s="15"/>
      <c r="I68" s="15"/>
      <c r="J68" s="15"/>
      <c r="K68" s="15"/>
      <c r="L68" s="15"/>
      <c r="M68" s="15"/>
      <c r="N68" s="15"/>
      <c r="O68" s="15"/>
      <c r="P68" s="66"/>
      <c r="Q68" s="21"/>
      <c r="R68" s="21"/>
      <c r="S68" s="21"/>
      <c r="T68" s="21"/>
      <c r="U68" s="21"/>
      <c r="V68" s="21"/>
      <c r="W68" s="21"/>
      <c r="X68" s="21"/>
      <c r="Y68" s="21"/>
      <c r="Z68" s="21"/>
      <c r="AA68" s="21"/>
      <c r="AB68" s="21"/>
      <c r="AC68" s="21"/>
      <c r="AD68" s="21"/>
      <c r="AE68" s="23"/>
    </row>
    <row r="69" spans="1:31" ht="13.2" hidden="1">
      <c r="A69" s="12">
        <v>66</v>
      </c>
      <c r="B69" s="91"/>
      <c r="C69" s="14"/>
      <c r="D69" s="15"/>
      <c r="E69" s="15"/>
      <c r="F69" s="15"/>
      <c r="G69" s="15"/>
      <c r="H69" s="15"/>
      <c r="I69" s="15"/>
      <c r="J69" s="15"/>
      <c r="K69" s="15"/>
      <c r="L69" s="15"/>
      <c r="M69" s="15"/>
      <c r="N69" s="15"/>
      <c r="O69" s="15"/>
      <c r="P69" s="66"/>
      <c r="Q69" s="21"/>
      <c r="R69" s="21"/>
      <c r="S69" s="21"/>
      <c r="T69" s="21"/>
      <c r="U69" s="21"/>
      <c r="V69" s="21"/>
      <c r="W69" s="21"/>
      <c r="X69" s="21"/>
      <c r="Y69" s="21"/>
      <c r="Z69" s="21"/>
      <c r="AA69" s="21"/>
      <c r="AB69" s="21"/>
      <c r="AC69" s="21"/>
      <c r="AD69" s="21"/>
      <c r="AE69" s="23"/>
    </row>
    <row r="70" spans="1:31" ht="13.2" hidden="1">
      <c r="A70" s="12">
        <v>67</v>
      </c>
      <c r="B70" s="46"/>
      <c r="C70" s="14"/>
      <c r="D70" s="15"/>
      <c r="E70" s="15"/>
      <c r="F70" s="15"/>
      <c r="G70" s="15"/>
      <c r="H70" s="15"/>
      <c r="I70" s="15"/>
      <c r="J70" s="15"/>
      <c r="K70" s="15"/>
      <c r="L70" s="15"/>
      <c r="M70" s="15"/>
      <c r="N70" s="15"/>
      <c r="O70" s="15"/>
      <c r="P70" s="66"/>
      <c r="Q70" s="21"/>
      <c r="R70" s="21"/>
      <c r="S70" s="21"/>
      <c r="T70" s="21"/>
      <c r="U70" s="21"/>
      <c r="V70" s="21"/>
      <c r="W70" s="21"/>
      <c r="X70" s="21"/>
      <c r="Y70" s="21"/>
      <c r="Z70" s="21"/>
      <c r="AA70" s="21"/>
      <c r="AB70" s="21"/>
      <c r="AC70" s="21"/>
      <c r="AD70" s="21"/>
      <c r="AE70" s="23"/>
    </row>
    <row r="71" spans="1:31" ht="13.2" hidden="1">
      <c r="A71" s="12">
        <v>68</v>
      </c>
      <c r="B71" s="46"/>
      <c r="C71" s="14"/>
      <c r="D71" s="15"/>
      <c r="E71" s="15"/>
      <c r="F71" s="15"/>
      <c r="G71" s="15"/>
      <c r="H71" s="15"/>
      <c r="I71" s="15"/>
      <c r="J71" s="15"/>
      <c r="K71" s="15"/>
      <c r="L71" s="15"/>
      <c r="M71" s="15"/>
      <c r="N71" s="15"/>
      <c r="O71" s="15"/>
      <c r="P71" s="66"/>
      <c r="Q71" s="21"/>
      <c r="R71" s="21"/>
      <c r="S71" s="21"/>
      <c r="T71" s="21"/>
      <c r="U71" s="21"/>
      <c r="V71" s="21"/>
      <c r="W71" s="21"/>
      <c r="X71" s="21"/>
      <c r="Y71" s="21"/>
      <c r="Z71" s="21"/>
      <c r="AA71" s="21"/>
      <c r="AB71" s="21"/>
      <c r="AC71" s="21"/>
      <c r="AD71" s="21"/>
      <c r="AE71" s="23"/>
    </row>
    <row r="72" spans="1:31" ht="13.2" hidden="1">
      <c r="A72" s="12">
        <v>69</v>
      </c>
      <c r="B72" s="26"/>
      <c r="C72" s="14"/>
      <c r="D72" s="15"/>
      <c r="E72" s="15"/>
      <c r="F72" s="15"/>
      <c r="G72" s="15"/>
      <c r="H72" s="15"/>
      <c r="I72" s="15"/>
      <c r="J72" s="15"/>
      <c r="K72" s="15"/>
      <c r="L72" s="15"/>
      <c r="M72" s="15"/>
      <c r="N72" s="15"/>
      <c r="O72" s="15"/>
      <c r="P72" s="66"/>
      <c r="Q72" s="21"/>
      <c r="R72" s="21"/>
      <c r="S72" s="21"/>
      <c r="T72" s="21"/>
      <c r="U72" s="21"/>
      <c r="V72" s="21"/>
      <c r="W72" s="21"/>
      <c r="X72" s="21"/>
      <c r="Y72" s="21"/>
      <c r="Z72" s="21"/>
      <c r="AA72" s="21"/>
      <c r="AB72" s="21"/>
      <c r="AC72" s="21"/>
      <c r="AD72" s="21"/>
      <c r="AE72" s="23"/>
    </row>
    <row r="73" spans="1:31" ht="13.2" hidden="1">
      <c r="A73" s="12">
        <v>70</v>
      </c>
      <c r="B73" s="26"/>
      <c r="C73" s="14"/>
      <c r="D73" s="15"/>
      <c r="E73" s="15"/>
      <c r="F73" s="15"/>
      <c r="G73" s="15"/>
      <c r="H73" s="15"/>
      <c r="I73" s="15"/>
      <c r="J73" s="15"/>
      <c r="K73" s="15"/>
      <c r="L73" s="15"/>
      <c r="M73" s="15"/>
      <c r="N73" s="15"/>
      <c r="O73" s="17"/>
      <c r="P73" s="66"/>
      <c r="Q73" s="21"/>
      <c r="R73" s="21"/>
      <c r="S73" s="21"/>
      <c r="T73" s="21"/>
      <c r="U73" s="21"/>
      <c r="V73" s="21"/>
      <c r="W73" s="21"/>
      <c r="X73" s="21"/>
      <c r="Y73" s="21"/>
      <c r="Z73" s="21"/>
      <c r="AA73" s="21"/>
      <c r="AB73" s="21"/>
      <c r="AC73" s="21"/>
      <c r="AD73" s="21"/>
      <c r="AE73" s="23"/>
    </row>
    <row r="74" spans="1:31" ht="13.2" hidden="1">
      <c r="A74" s="12">
        <v>71</v>
      </c>
      <c r="B74" s="91"/>
      <c r="C74" s="14"/>
      <c r="D74" s="15"/>
      <c r="E74" s="15"/>
      <c r="F74" s="15"/>
      <c r="G74" s="15"/>
      <c r="H74" s="15"/>
      <c r="I74" s="15"/>
      <c r="J74" s="15"/>
      <c r="K74" s="15"/>
      <c r="L74" s="15"/>
      <c r="M74" s="15"/>
      <c r="N74" s="15"/>
      <c r="O74" s="15"/>
      <c r="P74" s="66"/>
      <c r="Q74" s="21"/>
      <c r="R74" s="21"/>
      <c r="S74" s="21"/>
      <c r="T74" s="21"/>
      <c r="U74" s="21"/>
      <c r="V74" s="21"/>
      <c r="W74" s="21"/>
      <c r="X74" s="21"/>
      <c r="Y74" s="21"/>
      <c r="Z74" s="21"/>
      <c r="AA74" s="21"/>
      <c r="AB74" s="21"/>
      <c r="AC74" s="21"/>
      <c r="AD74" s="21"/>
      <c r="AE74" s="23"/>
    </row>
    <row r="75" spans="1:31" ht="13.2" hidden="1">
      <c r="A75" s="12">
        <v>72</v>
      </c>
      <c r="B75" s="46"/>
      <c r="C75" s="14"/>
      <c r="D75" s="15"/>
      <c r="E75" s="15"/>
      <c r="F75" s="15"/>
      <c r="G75" s="15"/>
      <c r="H75" s="15"/>
      <c r="I75" s="15"/>
      <c r="J75" s="15"/>
      <c r="K75" s="15"/>
      <c r="L75" s="15"/>
      <c r="M75" s="15"/>
      <c r="N75" s="15"/>
      <c r="O75" s="15"/>
      <c r="P75" s="66"/>
      <c r="Q75" s="21"/>
      <c r="R75" s="21"/>
      <c r="S75" s="21"/>
      <c r="T75" s="21"/>
      <c r="U75" s="21"/>
      <c r="V75" s="21"/>
      <c r="W75" s="21"/>
      <c r="X75" s="21"/>
      <c r="Y75" s="21"/>
      <c r="Z75" s="21"/>
      <c r="AA75" s="21"/>
      <c r="AB75" s="21"/>
      <c r="AC75" s="21"/>
      <c r="AD75" s="21"/>
      <c r="AE75" s="23"/>
    </row>
    <row r="76" spans="1:31" ht="13.2" hidden="1">
      <c r="A76" s="12">
        <v>73</v>
      </c>
      <c r="B76" s="46"/>
      <c r="C76" s="14"/>
      <c r="D76" s="15"/>
      <c r="E76" s="15"/>
      <c r="F76" s="15"/>
      <c r="G76" s="15"/>
      <c r="H76" s="15"/>
      <c r="I76" s="15"/>
      <c r="J76" s="15"/>
      <c r="K76" s="15"/>
      <c r="L76" s="15"/>
      <c r="M76" s="15"/>
      <c r="N76" s="15"/>
      <c r="O76" s="15"/>
      <c r="P76" s="66"/>
      <c r="Q76" s="21"/>
      <c r="R76" s="21"/>
      <c r="S76" s="21"/>
      <c r="T76" s="21"/>
      <c r="U76" s="21"/>
      <c r="V76" s="21"/>
      <c r="W76" s="21"/>
      <c r="X76" s="21"/>
      <c r="Y76" s="21"/>
      <c r="Z76" s="21"/>
      <c r="AA76" s="21"/>
      <c r="AB76" s="21"/>
      <c r="AC76" s="21"/>
      <c r="AD76" s="21"/>
      <c r="AE76" s="23"/>
    </row>
    <row r="77" spans="1:31" ht="13.2" hidden="1">
      <c r="A77" s="12">
        <v>74</v>
      </c>
      <c r="B77" s="46"/>
      <c r="C77" s="14"/>
      <c r="D77" s="15"/>
      <c r="E77" s="15"/>
      <c r="F77" s="15"/>
      <c r="G77" s="15"/>
      <c r="H77" s="15"/>
      <c r="I77" s="15"/>
      <c r="J77" s="15"/>
      <c r="K77" s="15"/>
      <c r="L77" s="15"/>
      <c r="M77" s="15"/>
      <c r="N77" s="15"/>
      <c r="O77" s="15"/>
      <c r="P77" s="66"/>
      <c r="Q77" s="21"/>
      <c r="R77" s="21"/>
      <c r="S77" s="21"/>
      <c r="T77" s="21"/>
      <c r="U77" s="21"/>
      <c r="V77" s="21"/>
      <c r="W77" s="21"/>
      <c r="X77" s="21"/>
      <c r="Y77" s="21"/>
      <c r="Z77" s="21"/>
      <c r="AA77" s="21"/>
      <c r="AB77" s="21"/>
      <c r="AC77" s="21"/>
      <c r="AD77" s="21"/>
      <c r="AE77" s="23"/>
    </row>
    <row r="78" spans="1:31" ht="13.2" hidden="1">
      <c r="A78" s="12">
        <v>75</v>
      </c>
      <c r="B78" s="46"/>
      <c r="C78" s="14"/>
      <c r="D78" s="37"/>
      <c r="E78" s="37"/>
      <c r="F78" s="37"/>
      <c r="G78" s="37"/>
      <c r="H78" s="15"/>
      <c r="I78" s="15"/>
      <c r="J78" s="15"/>
      <c r="K78" s="15"/>
      <c r="L78" s="15"/>
      <c r="M78" s="15"/>
      <c r="N78" s="15"/>
      <c r="O78" s="15"/>
      <c r="P78" s="66"/>
      <c r="Q78" s="21"/>
      <c r="R78" s="21"/>
      <c r="S78" s="21"/>
      <c r="T78" s="21"/>
      <c r="U78" s="21"/>
      <c r="V78" s="21"/>
      <c r="W78" s="21"/>
      <c r="X78" s="21"/>
      <c r="Y78" s="21"/>
      <c r="Z78" s="21"/>
      <c r="AA78" s="21"/>
      <c r="AB78" s="21"/>
      <c r="AC78" s="21"/>
      <c r="AD78" s="21"/>
      <c r="AE78" s="23"/>
    </row>
  </sheetData>
  <mergeCells count="5">
    <mergeCell ref="P1:R1"/>
    <mergeCell ref="S1:U1"/>
    <mergeCell ref="V1:X1"/>
    <mergeCell ref="Y1:AC1"/>
    <mergeCell ref="AD1:AD2"/>
  </mergeCells>
  <conditionalFormatting sqref="P1:P3 L1:L78 Q3:X3">
    <cfRule type="containsText" dxfId="0" priority="1" operator="containsText" text="Pass">
      <formula>NOT(ISERROR(SEARCH(("Pass"),(L1))))</formula>
    </cfRule>
  </conditionalFormatting>
  <dataValidations count="3">
    <dataValidation type="list" allowBlank="1" showErrorMessage="1" sqref="D4:D60" xr:uid="{00000000-0002-0000-0600-000000000000}">
      <formula1>"Food/ Drinks,Health,Finance,Environment,Education,Social Needs,Work,Sports,Others"</formula1>
    </dataValidation>
    <dataValidation type="list" allowBlank="1" showErrorMessage="1" sqref="P4:U60" xr:uid="{00000000-0002-0000-0600-000001000000}">
      <formula1>"Passed,Yet to Pass"</formula1>
    </dataValidation>
    <dataValidation type="list" allowBlank="1" showErrorMessage="1" sqref="Y4:AD60" xr:uid="{00000000-0002-0000-0600-000002000000}">
      <formula1>"Pass,Yet to Pass"</formula1>
    </dataValidation>
  </dataValidations>
  <hyperlinks>
    <hyperlink ref="N4" r:id="rId1" xr:uid="{00000000-0004-0000-0600-000000000000}"/>
    <hyperlink ref="N5" r:id="rId2" xr:uid="{00000000-0004-0000-0600-000001000000}"/>
    <hyperlink ref="N6" r:id="rId3" xr:uid="{00000000-0004-0000-0600-000002000000}"/>
    <hyperlink ref="N7" r:id="rId4" xr:uid="{00000000-0004-0000-0600-000003000000}"/>
    <hyperlink ref="N8" r:id="rId5" xr:uid="{00000000-0004-0000-0600-000004000000}"/>
    <hyperlink ref="N9" r:id="rId6" xr:uid="{00000000-0004-0000-0600-000005000000}"/>
    <hyperlink ref="N10" r:id="rId7" xr:uid="{00000000-0004-0000-0600-000006000000}"/>
    <hyperlink ref="N11" r:id="rId8" xr:uid="{00000000-0004-0000-0600-000007000000}"/>
    <hyperlink ref="N12" r:id="rId9" xr:uid="{00000000-0004-0000-0600-000008000000}"/>
    <hyperlink ref="N17" r:id="rId10" xr:uid="{00000000-0004-0000-0600-000009000000}"/>
    <hyperlink ref="N18" r:id="rId11" xr:uid="{00000000-0004-0000-0600-00000A000000}"/>
    <hyperlink ref="N19" r:id="rId12" xr:uid="{00000000-0004-0000-0600-00000B000000}"/>
    <hyperlink ref="G20" r:id="rId13" xr:uid="{00000000-0004-0000-0600-00000C000000}"/>
    <hyperlink ref="N20" r:id="rId14" xr:uid="{00000000-0004-0000-0600-00000D000000}"/>
    <hyperlink ref="G21" r:id="rId15" xr:uid="{00000000-0004-0000-0600-00000E000000}"/>
    <hyperlink ref="N21" r:id="rId16" xr:uid="{00000000-0004-0000-0600-00000F000000}"/>
    <hyperlink ref="G22" r:id="rId17" xr:uid="{00000000-0004-0000-0600-000010000000}"/>
    <hyperlink ref="N22" r:id="rId18" xr:uid="{00000000-0004-0000-0600-000011000000}"/>
    <hyperlink ref="G23" r:id="rId19" xr:uid="{00000000-0004-0000-0600-000012000000}"/>
    <hyperlink ref="N23" r:id="rId20" xr:uid="{00000000-0004-0000-0600-000013000000}"/>
    <hyperlink ref="G24" r:id="rId21" xr:uid="{00000000-0004-0000-0600-000014000000}"/>
    <hyperlink ref="N24" r:id="rId22" xr:uid="{00000000-0004-0000-0600-000015000000}"/>
    <hyperlink ref="M25" r:id="rId23" xr:uid="{00000000-0004-0000-0600-000016000000}"/>
    <hyperlink ref="N25" r:id="rId24" xr:uid="{00000000-0004-0000-0600-000017000000}"/>
    <hyperlink ref="N26" r:id="rId25" xr:uid="{00000000-0004-0000-0600-000018000000}"/>
    <hyperlink ref="N28" r:id="rId26" xr:uid="{00000000-0004-0000-0600-000019000000}"/>
    <hyperlink ref="N29" r:id="rId27" xr:uid="{00000000-0004-0000-0600-00001A000000}"/>
    <hyperlink ref="N30" r:id="rId28" xr:uid="{00000000-0004-0000-0600-00001B000000}"/>
    <hyperlink ref="G33" r:id="rId29" xr:uid="{00000000-0004-0000-0600-00001C000000}"/>
    <hyperlink ref="N33" r:id="rId30" xr:uid="{00000000-0004-0000-0600-00001D000000}"/>
    <hyperlink ref="N34" r:id="rId31" xr:uid="{00000000-0004-0000-0600-00001E000000}"/>
    <hyperlink ref="N35" r:id="rId32" xr:uid="{00000000-0004-0000-0600-00001F000000}"/>
    <hyperlink ref="N36" r:id="rId33" xr:uid="{00000000-0004-0000-0600-000020000000}"/>
    <hyperlink ref="N37" r:id="rId34" xr:uid="{00000000-0004-0000-0600-000021000000}"/>
    <hyperlink ref="N40" r:id="rId35" xr:uid="{00000000-0004-0000-0600-000022000000}"/>
    <hyperlink ref="N41" r:id="rId36" xr:uid="{00000000-0004-0000-0600-000023000000}"/>
    <hyperlink ref="N42" r:id="rId37" xr:uid="{00000000-0004-0000-0600-000024000000}"/>
    <hyperlink ref="N43" r:id="rId38" xr:uid="{00000000-0004-0000-0600-000025000000}"/>
    <hyperlink ref="N45" r:id="rId39" xr:uid="{00000000-0004-0000-0600-000026000000}"/>
    <hyperlink ref="N46" r:id="rId40" xr:uid="{00000000-0004-0000-0600-000027000000}"/>
    <hyperlink ref="N47" r:id="rId41" xr:uid="{00000000-0004-0000-0600-000028000000}"/>
    <hyperlink ref="N48" r:id="rId42" xr:uid="{00000000-0004-0000-0600-000029000000}"/>
    <hyperlink ref="N50" r:id="rId43" xr:uid="{00000000-0004-0000-0600-00002A000000}"/>
    <hyperlink ref="N51" r:id="rId44" xr:uid="{00000000-0004-0000-0600-00002B000000}"/>
    <hyperlink ref="N52" r:id="rId45" xr:uid="{00000000-0004-0000-0600-00002C000000}"/>
    <hyperlink ref="G53" r:id="rId46" xr:uid="{00000000-0004-0000-0600-00002D000000}"/>
    <hyperlink ref="N53" r:id="rId47" xr:uid="{00000000-0004-0000-0600-00002E000000}"/>
    <hyperlink ref="N56" r:id="rId48" xr:uid="{00000000-0004-0000-0600-00002F000000}"/>
    <hyperlink ref="N57" r:id="rId49" xr:uid="{00000000-0004-0000-0600-000030000000}"/>
    <hyperlink ref="N58" r:id="rId50" xr:uid="{00000000-0004-0000-0600-00003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Participant Submissions</vt:lpstr>
      <vt:lpstr>Sheet1</vt:lpstr>
      <vt:lpstr>Sheet2</vt:lpstr>
      <vt:lpstr>WAP Dates</vt:lpstr>
      <vt:lpstr>Sheet7</vt:lpstr>
      <vt:lpstr>GROUP 3 </vt:lpstr>
      <vt:lpstr>Group 2 (DONT TOUCH)</vt:lpstr>
      <vt:lpstr>Withdrawn</vt:lpstr>
      <vt:lpstr>LGs 4 and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Troy Toon</cp:lastModifiedBy>
  <dcterms:modified xsi:type="dcterms:W3CDTF">2025-11-17T02:23:03Z</dcterms:modified>
</cp:coreProperties>
</file>